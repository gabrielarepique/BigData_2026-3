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alento Tech UdeA\Curso Analisi de Datos Ejecutor\Contenido\"/>
    </mc:Choice>
  </mc:AlternateContent>
  <xr:revisionPtr revIDLastSave="0" documentId="13_ncr:1_{EF4B9203-4D5B-4744-BDFB-D4A5AC2391C3}" xr6:coauthVersionLast="47" xr6:coauthVersionMax="47" xr10:uidLastSave="{00000000-0000-0000-0000-000000000000}"/>
  <bookViews>
    <workbookView xWindow="-120" yWindow="-120" windowWidth="20730" windowHeight="11040" xr2:uid="{252F15CC-F8AD-40D7-A59E-0514930C2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" l="1"/>
  <c r="P50" i="1"/>
  <c r="O50" i="1"/>
  <c r="N50" i="1"/>
  <c r="G50" i="1"/>
  <c r="Q49" i="1"/>
  <c r="P49" i="1"/>
  <c r="O49" i="1"/>
  <c r="N49" i="1"/>
  <c r="G49" i="1"/>
  <c r="Q48" i="1"/>
  <c r="P48" i="1"/>
  <c r="O48" i="1"/>
  <c r="N48" i="1"/>
  <c r="G48" i="1"/>
  <c r="Q47" i="1"/>
  <c r="P47" i="1"/>
  <c r="O47" i="1"/>
  <c r="N47" i="1"/>
  <c r="G47" i="1"/>
  <c r="Q46" i="1"/>
  <c r="P46" i="1"/>
  <c r="O46" i="1"/>
  <c r="N46" i="1"/>
  <c r="G46" i="1"/>
  <c r="Q45" i="1"/>
  <c r="P45" i="1"/>
  <c r="O45" i="1"/>
  <c r="N45" i="1"/>
  <c r="G45" i="1"/>
  <c r="Q44" i="1"/>
  <c r="P44" i="1"/>
  <c r="O44" i="1"/>
  <c r="N44" i="1"/>
  <c r="G44" i="1"/>
  <c r="Q43" i="1"/>
  <c r="P43" i="1"/>
  <c r="O43" i="1"/>
  <c r="N43" i="1"/>
  <c r="G43" i="1"/>
  <c r="Q42" i="1"/>
  <c r="P42" i="1"/>
  <c r="O42" i="1"/>
  <c r="N42" i="1"/>
  <c r="G42" i="1"/>
  <c r="Q41" i="1"/>
  <c r="P41" i="1"/>
  <c r="O41" i="1"/>
  <c r="N41" i="1"/>
  <c r="G41" i="1"/>
  <c r="Q40" i="1"/>
  <c r="P40" i="1"/>
  <c r="O40" i="1"/>
  <c r="N40" i="1"/>
  <c r="G40" i="1"/>
  <c r="Q39" i="1"/>
  <c r="P39" i="1"/>
  <c r="O39" i="1"/>
  <c r="N39" i="1"/>
  <c r="G39" i="1"/>
  <c r="Q38" i="1"/>
  <c r="P38" i="1"/>
  <c r="O38" i="1"/>
  <c r="N38" i="1"/>
  <c r="G38" i="1"/>
  <c r="Q37" i="1"/>
  <c r="P37" i="1"/>
  <c r="O37" i="1"/>
  <c r="N37" i="1"/>
  <c r="G37" i="1"/>
  <c r="Q36" i="1"/>
  <c r="P36" i="1"/>
  <c r="O36" i="1"/>
  <c r="N36" i="1"/>
  <c r="G36" i="1"/>
  <c r="Q35" i="1"/>
  <c r="P35" i="1"/>
  <c r="O35" i="1"/>
  <c r="N35" i="1"/>
  <c r="G35" i="1"/>
  <c r="Q34" i="1"/>
  <c r="P34" i="1"/>
  <c r="O34" i="1"/>
  <c r="N34" i="1"/>
  <c r="G34" i="1"/>
  <c r="Q33" i="1"/>
  <c r="P33" i="1"/>
  <c r="O33" i="1"/>
  <c r="N33" i="1"/>
  <c r="G33" i="1"/>
  <c r="Q32" i="1"/>
  <c r="P32" i="1"/>
  <c r="O32" i="1"/>
  <c r="N32" i="1"/>
  <c r="G32" i="1"/>
  <c r="Q31" i="1"/>
  <c r="P31" i="1"/>
  <c r="O31" i="1"/>
  <c r="N31" i="1"/>
  <c r="G31" i="1"/>
  <c r="Q30" i="1"/>
  <c r="P30" i="1"/>
  <c r="O30" i="1"/>
  <c r="N30" i="1"/>
  <c r="G30" i="1"/>
  <c r="Q29" i="1"/>
  <c r="P29" i="1"/>
  <c r="O29" i="1"/>
  <c r="N29" i="1"/>
  <c r="G29" i="1"/>
  <c r="Q28" i="1"/>
  <c r="P28" i="1"/>
  <c r="O28" i="1"/>
  <c r="N28" i="1"/>
  <c r="G28" i="1"/>
  <c r="Q27" i="1"/>
  <c r="P27" i="1"/>
  <c r="O27" i="1"/>
  <c r="N27" i="1"/>
  <c r="G27" i="1"/>
  <c r="Q26" i="1"/>
  <c r="P26" i="1"/>
  <c r="O26" i="1"/>
  <c r="N26" i="1"/>
  <c r="G26" i="1"/>
  <c r="Q25" i="1"/>
  <c r="P25" i="1"/>
  <c r="O25" i="1"/>
  <c r="N25" i="1"/>
  <c r="G25" i="1"/>
  <c r="Q24" i="1"/>
  <c r="P24" i="1"/>
  <c r="O24" i="1"/>
  <c r="N24" i="1"/>
  <c r="G24" i="1"/>
  <c r="Q23" i="1"/>
  <c r="P23" i="1"/>
  <c r="O23" i="1"/>
  <c r="N23" i="1"/>
  <c r="G23" i="1"/>
  <c r="Q22" i="1"/>
  <c r="P22" i="1"/>
  <c r="O22" i="1"/>
  <c r="N22" i="1"/>
  <c r="G22" i="1"/>
  <c r="Q21" i="1"/>
  <c r="P21" i="1"/>
  <c r="O21" i="1"/>
  <c r="N21" i="1"/>
  <c r="G21" i="1"/>
  <c r="Q20" i="1"/>
  <c r="P20" i="1"/>
  <c r="O20" i="1"/>
  <c r="N20" i="1"/>
  <c r="G20" i="1"/>
  <c r="Q19" i="1"/>
  <c r="P19" i="1"/>
  <c r="O19" i="1"/>
  <c r="N19" i="1"/>
  <c r="G19" i="1"/>
  <c r="Q18" i="1"/>
  <c r="P18" i="1"/>
  <c r="O18" i="1"/>
  <c r="N18" i="1"/>
  <c r="G18" i="1"/>
  <c r="Q17" i="1"/>
  <c r="P17" i="1"/>
  <c r="O17" i="1"/>
  <c r="N17" i="1"/>
  <c r="G17" i="1"/>
  <c r="Q16" i="1"/>
  <c r="P16" i="1"/>
  <c r="O16" i="1"/>
  <c r="N16" i="1"/>
  <c r="G16" i="1"/>
  <c r="Q15" i="1"/>
  <c r="P15" i="1"/>
  <c r="O15" i="1"/>
  <c r="N15" i="1"/>
  <c r="G15" i="1"/>
  <c r="Q14" i="1"/>
  <c r="P14" i="1"/>
  <c r="O14" i="1"/>
  <c r="N14" i="1"/>
  <c r="G14" i="1"/>
  <c r="Q13" i="1"/>
  <c r="P13" i="1"/>
  <c r="O13" i="1"/>
  <c r="N13" i="1"/>
  <c r="G13" i="1"/>
  <c r="Q12" i="1"/>
  <c r="P12" i="1"/>
  <c r="O12" i="1"/>
  <c r="N12" i="1"/>
  <c r="G12" i="1"/>
  <c r="Q11" i="1"/>
  <c r="P11" i="1"/>
  <c r="O11" i="1"/>
  <c r="N11" i="1"/>
  <c r="G11" i="1"/>
  <c r="Q10" i="1"/>
  <c r="P10" i="1"/>
  <c r="O10" i="1"/>
  <c r="N10" i="1"/>
  <c r="G10" i="1"/>
  <c r="Q9" i="1"/>
  <c r="P9" i="1"/>
  <c r="O9" i="1"/>
  <c r="N9" i="1"/>
  <c r="G9" i="1"/>
  <c r="Q8" i="1"/>
  <c r="P8" i="1"/>
  <c r="O8" i="1"/>
  <c r="N8" i="1"/>
  <c r="G8" i="1"/>
  <c r="Q7" i="1"/>
  <c r="P7" i="1"/>
  <c r="O7" i="1"/>
  <c r="N7" i="1"/>
  <c r="G7" i="1"/>
  <c r="Q6" i="1"/>
  <c r="P6" i="1"/>
  <c r="O6" i="1"/>
  <c r="N6" i="1"/>
  <c r="G6" i="1"/>
  <c r="Q5" i="1"/>
  <c r="P5" i="1"/>
  <c r="O5" i="1"/>
  <c r="N5" i="1"/>
  <c r="G5" i="1"/>
  <c r="Q4" i="1"/>
  <c r="P4" i="1"/>
  <c r="O4" i="1"/>
  <c r="N4" i="1"/>
  <c r="G4" i="1"/>
  <c r="Q3" i="1"/>
  <c r="P3" i="1"/>
  <c r="O3" i="1"/>
  <c r="N3" i="1"/>
  <c r="G3" i="1"/>
  <c r="Q2" i="1"/>
  <c r="P2" i="1"/>
  <c r="O2" i="1"/>
  <c r="N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desarrollo</author>
  </authors>
  <commentList>
    <comment ref="N1" authorId="0" shapeId="0" xr:uid="{7202BB95-4DD4-41C7-AD91-17976732E55F}">
      <text>
        <r>
          <rPr>
            <b/>
            <sz val="9"/>
            <color indexed="81"/>
            <rFont val="Tahoma"/>
            <charset val="1"/>
          </rPr>
          <t>desarrollo:</t>
        </r>
        <r>
          <rPr>
            <sz val="9"/>
            <color indexed="81"/>
            <rFont val="Tahoma"/>
            <charset val="1"/>
          </rPr>
          <t xml:space="preserve">
Si (Y(la profesión es igual abogado y el cargo es igual Gerente entonces JURIDICA de lo contrario 
Si (Y(la profesión es igual Administrador y el cargo es igual Gerente General entonces ADMINISTRACION  de lo contrario 
Si (Y(la profesión es igual Contador y el cargo es igual Director General entonces CONTABILIDAD de lo contrario 
Si (Y(la profesión es igual Medico y el cargo es igual Gerente Administrativo entonces SALUD de lo contrario 
Si (Y(la profesión es igual Ingeniero y el cargo es igual Presidente entonces PRESIDENCIA de lo contrario 
Si (Y(la profesión es igual Psicologo y el cargo es igual Salud Mental entonces RRHH de lo contrario 
AUXILIARES
</t>
        </r>
      </text>
    </comment>
    <comment ref="O1" authorId="0" shapeId="0" xr:uid="{DE4AD9AC-79F0-400B-A957-8E59A298C3E0}">
      <text>
        <r>
          <rPr>
            <b/>
            <sz val="9"/>
            <color indexed="81"/>
            <rFont val="Tahoma"/>
            <charset val="1"/>
          </rPr>
          <t>desarrollo:</t>
        </r>
        <r>
          <rPr>
            <sz val="9"/>
            <color indexed="81"/>
            <rFont val="Tahoma"/>
            <charset val="1"/>
          </rPr>
          <t xml:space="preserve">
si la empresa es igual a CONCONCRETO S.A o la ciudad es igual a Envigado entonces Sur de lo contrario  si la empresa es igual a A.I.A. o la ciudad es igual a Medellín entonces Norte de lo contrario Centro</t>
        </r>
      </text>
    </comment>
    <comment ref="P1" authorId="0" shapeId="0" xr:uid="{3E240E81-5BF7-4EB2-980A-65AFF7443FDF}">
      <text>
        <r>
          <rPr>
            <b/>
            <sz val="9"/>
            <color indexed="81"/>
            <rFont val="Tahoma"/>
            <charset val="1"/>
          </rPr>
          <t>desarrollo:</t>
        </r>
        <r>
          <rPr>
            <sz val="9"/>
            <color indexed="81"/>
            <rFont val="Tahoma"/>
            <charset val="1"/>
          </rPr>
          <t xml:space="preserve">
si la empresa es igual a A.I.A. Y El salario es mayor o  igual a 4 SMLV entonces la bonificación es el 5% del salario  de lo contrario  si la empresa es igual a CEMENTOS ARGOS  o el salario  es mayor o igual a 5 SMLV  entonces la bonificación es el 6% del salario  de lo contrario el 7% del salario</t>
        </r>
      </text>
    </comment>
    <comment ref="Q1" authorId="0" shapeId="0" xr:uid="{67B6B09B-183B-405F-A978-B8A452221D34}">
      <text>
        <r>
          <rPr>
            <b/>
            <sz val="9"/>
            <color indexed="81"/>
            <rFont val="Tahoma"/>
            <charset val="1"/>
          </rPr>
          <t>desarrollo:</t>
        </r>
        <r>
          <rPr>
            <sz val="9"/>
            <color indexed="81"/>
            <rFont val="Tahoma"/>
            <charset val="1"/>
          </rPr>
          <t xml:space="preserve">
Si la profesión es igual a Medico y el cargo es igual a Gerente Administrativo entonces Blanco de lo contrario 
Si la profesión es igual a Psicologo y el cargo es igual a Salud Mental entonces Azul de lo contrario 
Gris
</t>
        </r>
      </text>
    </comment>
  </commentList>
</comments>
</file>

<file path=xl/sharedStrings.xml><?xml version="1.0" encoding="utf-8"?>
<sst xmlns="http://schemas.openxmlformats.org/spreadsheetml/2006/main" count="409" uniqueCount="123">
  <si>
    <t>CEDULA</t>
  </si>
  <si>
    <t>PROFESION</t>
  </si>
  <si>
    <t>NOMBRE</t>
  </si>
  <si>
    <t>APELLIDO</t>
  </si>
  <si>
    <t>FECHA DE NACIMIENTO</t>
  </si>
  <si>
    <t>SEXO</t>
  </si>
  <si>
    <t>EDAD</t>
  </si>
  <si>
    <t>CARGO</t>
  </si>
  <si>
    <t>EMPRESA</t>
  </si>
  <si>
    <t>DIRECCION</t>
  </si>
  <si>
    <t>TELEFONO</t>
  </si>
  <si>
    <t>CIUDAD</t>
  </si>
  <si>
    <t>SALARIO</t>
  </si>
  <si>
    <t>DEPENDENCIA</t>
  </si>
  <si>
    <t>ZONA</t>
  </si>
  <si>
    <t>BONIFICACION</t>
  </si>
  <si>
    <t>UNIFORME</t>
  </si>
  <si>
    <t>Abogado</t>
  </si>
  <si>
    <t>Juan Carlos</t>
  </si>
  <si>
    <t>Restrepo</t>
  </si>
  <si>
    <t>M</t>
  </si>
  <si>
    <t>Gerente</t>
  </si>
  <si>
    <t>CEMENTOS ARGOS</t>
  </si>
  <si>
    <t>Cra29 calle 30</t>
  </si>
  <si>
    <t>Bello</t>
  </si>
  <si>
    <t>Augusto</t>
  </si>
  <si>
    <t>Camilo</t>
  </si>
  <si>
    <t>SantaMaria</t>
  </si>
  <si>
    <t>CLINICA SOMA</t>
  </si>
  <si>
    <t>CRA. 46 CALLE 52</t>
  </si>
  <si>
    <t>Medellín</t>
  </si>
  <si>
    <t>Carlos</t>
  </si>
  <si>
    <t>Saavedra</t>
  </si>
  <si>
    <t>HACEB S.A.</t>
  </si>
  <si>
    <t>CALLE 30 No. 28-52</t>
  </si>
  <si>
    <t>Copacabana</t>
  </si>
  <si>
    <t>Eduardo</t>
  </si>
  <si>
    <t>Santiago</t>
  </si>
  <si>
    <t>Gutierrez</t>
  </si>
  <si>
    <t>Coordinador</t>
  </si>
  <si>
    <t>SANCHEZ Y CIA</t>
  </si>
  <si>
    <t>CRA 38 No. 20 - 86</t>
  </si>
  <si>
    <t>Administrador</t>
  </si>
  <si>
    <t>Orlando</t>
  </si>
  <si>
    <t>Piedrahita</t>
  </si>
  <si>
    <t>Gerente General</t>
  </si>
  <si>
    <t>A.I.A.</t>
  </si>
  <si>
    <t>Peña</t>
  </si>
  <si>
    <t>CASA DE LA CULTURA POBLADO</t>
  </si>
  <si>
    <t>CRA 43A No.12 - 20</t>
  </si>
  <si>
    <t>Carlos Mario</t>
  </si>
  <si>
    <t>Arango</t>
  </si>
  <si>
    <t>Arnoldo</t>
  </si>
  <si>
    <t>Aristizabal</t>
  </si>
  <si>
    <t>CONCONCRETO S.A.</t>
  </si>
  <si>
    <t>Envigado</t>
  </si>
  <si>
    <t>Edilberto</t>
  </si>
  <si>
    <t>Solano</t>
  </si>
  <si>
    <t>sabaneta</t>
  </si>
  <si>
    <t>Andres</t>
  </si>
  <si>
    <t>Humberto</t>
  </si>
  <si>
    <t>Araque</t>
  </si>
  <si>
    <t>CORPORACION TALLER DE LA MUSICA</t>
  </si>
  <si>
    <t>Contador</t>
  </si>
  <si>
    <t>Estefania</t>
  </si>
  <si>
    <t>Hernandez</t>
  </si>
  <si>
    <t>F</t>
  </si>
  <si>
    <t>Despachadora</t>
  </si>
  <si>
    <t>ARRENDAMIENTOS NUTIBARA</t>
  </si>
  <si>
    <t>Andrea</t>
  </si>
  <si>
    <t>Bejarano</t>
  </si>
  <si>
    <t>Director Comercial</t>
  </si>
  <si>
    <t>CEMENTOS EL CAIRO</t>
  </si>
  <si>
    <t>Edelmira</t>
  </si>
  <si>
    <t>Tatiana</t>
  </si>
  <si>
    <t>De los Rios</t>
  </si>
  <si>
    <t>Azucena</t>
  </si>
  <si>
    <t>Cordoba</t>
  </si>
  <si>
    <t>Astrid</t>
  </si>
  <si>
    <t>Sandra</t>
  </si>
  <si>
    <t>Pelaez</t>
  </si>
  <si>
    <t>Berenice</t>
  </si>
  <si>
    <t>Anzola</t>
  </si>
  <si>
    <t>Ingeniero</t>
  </si>
  <si>
    <t>Posada</t>
  </si>
  <si>
    <t>Presidente</t>
  </si>
  <si>
    <t>Pedro</t>
  </si>
  <si>
    <t>Ospina</t>
  </si>
  <si>
    <t>Medico</t>
  </si>
  <si>
    <t>Andrés</t>
  </si>
  <si>
    <t>Moncada</t>
  </si>
  <si>
    <t>Gerente Administrativo</t>
  </si>
  <si>
    <t>Benjamin</t>
  </si>
  <si>
    <t>Hector Hugo</t>
  </si>
  <si>
    <t>Hinestroza</t>
  </si>
  <si>
    <t xml:space="preserve">Medico </t>
  </si>
  <si>
    <t>Luis Felipe</t>
  </si>
  <si>
    <t>Jimenez</t>
  </si>
  <si>
    <t>Serna</t>
  </si>
  <si>
    <t>Roberto</t>
  </si>
  <si>
    <t>Bernardo</t>
  </si>
  <si>
    <t>Jaramillo</t>
  </si>
  <si>
    <t>Mario</t>
  </si>
  <si>
    <t>Puerta</t>
  </si>
  <si>
    <t>Mauricio</t>
  </si>
  <si>
    <t>Psicologo</t>
  </si>
  <si>
    <t>Palacio</t>
  </si>
  <si>
    <t>Salud Mental</t>
  </si>
  <si>
    <t>Camila</t>
  </si>
  <si>
    <t>Buendia</t>
  </si>
  <si>
    <t>Ana Maria</t>
  </si>
  <si>
    <t>Moya</t>
  </si>
  <si>
    <t>Samanta</t>
  </si>
  <si>
    <t>Angela</t>
  </si>
  <si>
    <t>Bedoya</t>
  </si>
  <si>
    <t>Marleny</t>
  </si>
  <si>
    <t>Aguirre</t>
  </si>
  <si>
    <t>Claudia</t>
  </si>
  <si>
    <t>Zapata</t>
  </si>
  <si>
    <t>Francisca</t>
  </si>
  <si>
    <t>Juanita</t>
  </si>
  <si>
    <t>Acosta</t>
  </si>
  <si>
    <t>Anastasia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</si>
</sst>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;@"/>
    <numFmt numFmtId="165" formatCode="[$$-240A]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E6F8B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" fontId="0" fillId="3" borderId="1" xfId="0" applyNumberFormat="1" applyFill="1" applyBorder="1"/>
    <xf numFmtId="165" fontId="0" fillId="0" borderId="1" xfId="0" applyNumberFormat="1" applyBorder="1"/>
    <xf numFmtId="0" fontId="2" fillId="3" borderId="2" xfId="0" applyFont="1" applyFill="1" applyBorder="1" applyAlignment="1">
      <alignment horizontal="left" vertical="center" indent="1"/>
    </xf>
    <xf numFmtId="0" fontId="0" fillId="3" borderId="1" xfId="0" applyFill="1" applyBorder="1"/>
    <xf numFmtId="44" fontId="0" fillId="3" borderId="1" xfId="0" applyNumberFormat="1" applyFill="1" applyBorder="1"/>
    <xf numFmtId="164" fontId="0" fillId="0" borderId="1" xfId="0" applyNumberFormat="1" applyBorder="1" applyAlignment="1">
      <alignment wrapText="1"/>
    </xf>
    <xf numFmtId="3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47B0-52F7-440B-B946-8E6438612CFA}">
  <dimension ref="A1:Q66"/>
  <sheetViews>
    <sheetView tabSelected="1" topLeftCell="H37" workbookViewId="0">
      <selection activeCell="M51" sqref="A51:XFD51"/>
    </sheetView>
  </sheetViews>
  <sheetFormatPr baseColWidth="10" defaultRowHeight="15" x14ac:dyDescent="0.25"/>
  <cols>
    <col min="1" max="1" width="12.7109375" style="14" bestFit="1" customWidth="1"/>
    <col min="2" max="2" width="13.5703125" customWidth="1"/>
    <col min="3" max="3" width="12" bestFit="1" customWidth="1"/>
    <col min="4" max="4" width="10.85546875" bestFit="1" customWidth="1"/>
    <col min="5" max="5" width="14.5703125" customWidth="1"/>
    <col min="6" max="6" width="5.5703125" bestFit="1" customWidth="1"/>
    <col min="7" max="7" width="15.85546875" customWidth="1"/>
    <col min="8" max="8" width="24.85546875" bestFit="1" customWidth="1"/>
    <col min="9" max="9" width="34.140625" bestFit="1" customWidth="1"/>
    <col min="10" max="10" width="17.5703125" bestFit="1" customWidth="1"/>
    <col min="11" max="11" width="10.140625" bestFit="1" customWidth="1"/>
    <col min="12" max="12" width="11.5703125" bestFit="1" customWidth="1"/>
    <col min="13" max="13" width="11.42578125" style="15"/>
    <col min="14" max="14" width="16.7109375" customWidth="1"/>
    <col min="16" max="16" width="14.85546875" customWidth="1"/>
    <col min="17" max="17" width="13.5703125" customWidth="1"/>
  </cols>
  <sheetData>
    <row r="1" spans="1:1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5.75" thickBot="1" x14ac:dyDescent="0.3">
      <c r="A2" s="5">
        <v>71220551</v>
      </c>
      <c r="B2" s="6" t="s">
        <v>17</v>
      </c>
      <c r="C2" s="6" t="s">
        <v>18</v>
      </c>
      <c r="D2" s="6" t="s">
        <v>19</v>
      </c>
      <c r="E2" s="7">
        <v>27439</v>
      </c>
      <c r="F2" s="6" t="s">
        <v>20</v>
      </c>
      <c r="G2" s="8">
        <f ca="1">(YEAR(NOW())-YEAR(E2))</f>
        <v>50</v>
      </c>
      <c r="H2" s="6" t="s">
        <v>21</v>
      </c>
      <c r="I2" s="6" t="s">
        <v>22</v>
      </c>
      <c r="J2" s="6" t="s">
        <v>23</v>
      </c>
      <c r="K2" s="6">
        <v>4445557</v>
      </c>
      <c r="L2" s="6" t="s">
        <v>24</v>
      </c>
      <c r="M2" s="9">
        <v>5117881</v>
      </c>
      <c r="N2" s="10" t="str">
        <f>IF(AND(B2="Abogado",H2="Gerente"),"JURIDICA",AND(B2="Administrador",H2="Gerente General);""ADMINISTRACION",AND(B2="Contador",H2="Director General);""CONTABILIDAD",AND(B2="Medico",H2="Gerente Administrativo"),"""Salud")))</f>
        <v>JURIDICA</v>
      </c>
      <c r="O2" s="11" t="str">
        <f>IF(OR(I2="CONCRETO S.A",L2="Envigado"),"Sur",IF(OR(I2="A.I.A.",L2="Medellín"),"Norte","Centro"))</f>
        <v>Centro</v>
      </c>
      <c r="P2" s="12">
        <f>IF(AND(I2="A.I.A.",M2&gt;=5200000),M2*0.05,IF(OR(I2="CEMENTOS ARGOS",M2&gt;=6500000),M2*0.06,M2*0.07))</f>
        <v>307072.86</v>
      </c>
      <c r="Q2" s="11" t="str">
        <f>IF(AND(B2="Medico",H2="Gerente Administrativo"),"Blanco",IF(AND(B2="Psicologo",H2="Salud Mental"),"Azul","Otro"))</f>
        <v>Otro</v>
      </c>
    </row>
    <row r="3" spans="1:17" ht="15.75" thickBot="1" x14ac:dyDescent="0.3">
      <c r="A3" s="5">
        <v>1128425513</v>
      </c>
      <c r="B3" s="6" t="s">
        <v>17</v>
      </c>
      <c r="C3" s="6" t="s">
        <v>25</v>
      </c>
      <c r="D3" s="6" t="s">
        <v>19</v>
      </c>
      <c r="E3" s="7">
        <v>26213</v>
      </c>
      <c r="F3" s="6" t="s">
        <v>20</v>
      </c>
      <c r="G3" s="8">
        <f t="shared" ref="G3:G49" ca="1" si="0">(YEAR(NOW())-YEAR(E3))</f>
        <v>54</v>
      </c>
      <c r="H3" s="6" t="s">
        <v>21</v>
      </c>
      <c r="I3" s="6" t="s">
        <v>22</v>
      </c>
      <c r="J3" s="6" t="s">
        <v>23</v>
      </c>
      <c r="K3" s="6">
        <v>4445557</v>
      </c>
      <c r="L3" s="6" t="s">
        <v>24</v>
      </c>
      <c r="M3" s="9">
        <v>1708079</v>
      </c>
      <c r="N3" s="10" t="str">
        <f t="shared" ref="N3:N6" si="1">IF(AND(B3="Abogado",H3="Gerente"),"JURIDICA",AND(B3="Administrador",H3="Gerente General);""ADMINISTRACION",AND(B3="Contador",H3="Director General);""CONTABILIDAD")))</f>
        <v>JURIDICA</v>
      </c>
      <c r="O3" s="11" t="str">
        <f t="shared" ref="O3:O49" si="2">IF(OR(I3="CONCRETO S.A",L3="Envigado"),"Sur",IF(OR(I3="A.I.A.",L3="Medellín"),"Norte","Centro"))</f>
        <v>Centro</v>
      </c>
      <c r="P3" s="12">
        <f t="shared" ref="P3:P49" si="3">IF(AND(I3="A.I.A.",M3&gt;=5200000),M3*0.05,IF(OR(I3="CEMENTOS ARGOS",M3&gt;=6500000),M3*0.06,M3*0.07))</f>
        <v>102484.73999999999</v>
      </c>
      <c r="Q3" s="11" t="str">
        <f t="shared" ref="Q3:Q49" si="4">IF(AND(B3="Medico",H3="Gerente Administrativo"),"Blanco",IF(AND(B3="Psicologo",H3="Salud Mental"),"Azul","Otro"))</f>
        <v>Otro</v>
      </c>
    </row>
    <row r="4" spans="1:17" ht="15.75" thickBot="1" x14ac:dyDescent="0.3">
      <c r="A4" s="5">
        <v>7899429</v>
      </c>
      <c r="B4" s="6" t="s">
        <v>17</v>
      </c>
      <c r="C4" s="6" t="s">
        <v>26</v>
      </c>
      <c r="D4" s="6" t="s">
        <v>27</v>
      </c>
      <c r="E4" s="7">
        <v>32276</v>
      </c>
      <c r="F4" s="6" t="s">
        <v>20</v>
      </c>
      <c r="G4" s="8">
        <f t="shared" ca="1" si="0"/>
        <v>37</v>
      </c>
      <c r="H4" s="6" t="s">
        <v>21</v>
      </c>
      <c r="I4" s="6" t="s">
        <v>28</v>
      </c>
      <c r="J4" s="6" t="s">
        <v>29</v>
      </c>
      <c r="K4" s="6">
        <v>3022073</v>
      </c>
      <c r="L4" s="6" t="s">
        <v>30</v>
      </c>
      <c r="M4" s="9">
        <v>8281160</v>
      </c>
      <c r="N4" s="10" t="str">
        <f t="shared" si="1"/>
        <v>JURIDICA</v>
      </c>
      <c r="O4" s="11" t="str">
        <f t="shared" si="2"/>
        <v>Norte</v>
      </c>
      <c r="P4" s="12">
        <f t="shared" si="3"/>
        <v>496869.6</v>
      </c>
      <c r="Q4" s="11" t="str">
        <f t="shared" si="4"/>
        <v>Otro</v>
      </c>
    </row>
    <row r="5" spans="1:17" ht="15.75" thickBot="1" x14ac:dyDescent="0.3">
      <c r="A5" s="5">
        <v>1020411612</v>
      </c>
      <c r="B5" s="6" t="s">
        <v>17</v>
      </c>
      <c r="C5" s="6" t="s">
        <v>31</v>
      </c>
      <c r="D5" s="6" t="s">
        <v>32</v>
      </c>
      <c r="E5" s="7">
        <v>32783</v>
      </c>
      <c r="F5" s="6" t="s">
        <v>20</v>
      </c>
      <c r="G5" s="8">
        <f t="shared" ca="1" si="0"/>
        <v>36</v>
      </c>
      <c r="H5" s="6" t="s">
        <v>21</v>
      </c>
      <c r="I5" s="6" t="s">
        <v>33</v>
      </c>
      <c r="J5" s="6" t="s">
        <v>34</v>
      </c>
      <c r="K5" s="6">
        <v>5117718</v>
      </c>
      <c r="L5" s="6" t="s">
        <v>35</v>
      </c>
      <c r="M5" s="9">
        <v>3716077</v>
      </c>
      <c r="N5" s="10" t="str">
        <f t="shared" si="1"/>
        <v>JURIDICA</v>
      </c>
      <c r="O5" s="11" t="str">
        <f t="shared" si="2"/>
        <v>Centro</v>
      </c>
      <c r="P5" s="12">
        <f t="shared" si="3"/>
        <v>260125.39</v>
      </c>
      <c r="Q5" s="11" t="str">
        <f t="shared" si="4"/>
        <v>Otro</v>
      </c>
    </row>
    <row r="6" spans="1:17" ht="15.75" thickBot="1" x14ac:dyDescent="0.3">
      <c r="A6" s="5">
        <v>1128425526</v>
      </c>
      <c r="B6" s="6" t="s">
        <v>17</v>
      </c>
      <c r="C6" s="6" t="s">
        <v>36</v>
      </c>
      <c r="D6" s="6" t="s">
        <v>32</v>
      </c>
      <c r="E6" s="7">
        <v>32904</v>
      </c>
      <c r="F6" s="6" t="s">
        <v>20</v>
      </c>
      <c r="G6" s="8">
        <f t="shared" ca="1" si="0"/>
        <v>35</v>
      </c>
      <c r="H6" s="6" t="s">
        <v>21</v>
      </c>
      <c r="I6" s="6" t="s">
        <v>33</v>
      </c>
      <c r="J6" s="6" t="s">
        <v>34</v>
      </c>
      <c r="K6" s="6">
        <v>5117718</v>
      </c>
      <c r="L6" s="6" t="s">
        <v>35</v>
      </c>
      <c r="M6" s="9">
        <v>4327291</v>
      </c>
      <c r="N6" s="10" t="str">
        <f t="shared" si="1"/>
        <v>JURIDICA</v>
      </c>
      <c r="O6" s="11" t="str">
        <f t="shared" si="2"/>
        <v>Centro</v>
      </c>
      <c r="P6" s="12">
        <f t="shared" si="3"/>
        <v>302910.37000000005</v>
      </c>
      <c r="Q6" s="11" t="str">
        <f t="shared" si="4"/>
        <v>Otro</v>
      </c>
    </row>
    <row r="7" spans="1:17" ht="15.75" thickBot="1" x14ac:dyDescent="0.3">
      <c r="A7" s="5">
        <v>1020411606</v>
      </c>
      <c r="B7" s="6" t="s">
        <v>17</v>
      </c>
      <c r="C7" s="6" t="s">
        <v>37</v>
      </c>
      <c r="D7" s="6" t="s">
        <v>38</v>
      </c>
      <c r="E7" s="7">
        <v>34835</v>
      </c>
      <c r="F7" s="6" t="s">
        <v>20</v>
      </c>
      <c r="G7" s="8">
        <f t="shared" ca="1" si="0"/>
        <v>30</v>
      </c>
      <c r="H7" s="6" t="s">
        <v>39</v>
      </c>
      <c r="I7" s="6" t="s">
        <v>40</v>
      </c>
      <c r="J7" s="6" t="s">
        <v>41</v>
      </c>
      <c r="K7" s="6">
        <v>4445559</v>
      </c>
      <c r="L7" s="6" t="s">
        <v>30</v>
      </c>
      <c r="M7" s="9">
        <v>5056473</v>
      </c>
      <c r="N7" s="10" t="str">
        <f>IF(AND(B7="Administrador",H7="Gerente general"),"ADMINISTRACION","AUXILIAR")</f>
        <v>AUXILIAR</v>
      </c>
      <c r="O7" s="11" t="str">
        <f t="shared" si="2"/>
        <v>Norte</v>
      </c>
      <c r="P7" s="12">
        <f t="shared" si="3"/>
        <v>353953.11000000004</v>
      </c>
      <c r="Q7" s="11" t="str">
        <f t="shared" si="4"/>
        <v>Otro</v>
      </c>
    </row>
    <row r="8" spans="1:17" ht="15.75" thickBot="1" x14ac:dyDescent="0.3">
      <c r="A8" s="5">
        <v>7899426</v>
      </c>
      <c r="B8" s="6" t="s">
        <v>42</v>
      </c>
      <c r="C8" s="6" t="s">
        <v>43</v>
      </c>
      <c r="D8" s="6" t="s">
        <v>44</v>
      </c>
      <c r="E8" s="7">
        <v>34524</v>
      </c>
      <c r="F8" s="6" t="s">
        <v>20</v>
      </c>
      <c r="G8" s="8">
        <f t="shared" ca="1" si="0"/>
        <v>31</v>
      </c>
      <c r="H8" s="6" t="s">
        <v>45</v>
      </c>
      <c r="I8" s="6" t="s">
        <v>46</v>
      </c>
      <c r="J8" s="6" t="s">
        <v>41</v>
      </c>
      <c r="K8" s="6">
        <v>4567783</v>
      </c>
      <c r="L8" s="6" t="s">
        <v>30</v>
      </c>
      <c r="M8" s="9">
        <v>4828740</v>
      </c>
      <c r="N8" s="10" t="str">
        <f>IF(AND(B8="Administrador",H8="Gerente general"),"ADMINISTRACION","AUXILIAR")</f>
        <v>ADMINISTRACION</v>
      </c>
      <c r="O8" s="11" t="str">
        <f t="shared" si="2"/>
        <v>Norte</v>
      </c>
      <c r="P8" s="12">
        <f t="shared" si="3"/>
        <v>338011.80000000005</v>
      </c>
      <c r="Q8" s="11" t="str">
        <f t="shared" si="4"/>
        <v>Otro</v>
      </c>
    </row>
    <row r="9" spans="1:17" ht="15.75" thickBot="1" x14ac:dyDescent="0.3">
      <c r="A9" s="5">
        <v>71220548</v>
      </c>
      <c r="B9" s="6" t="s">
        <v>42</v>
      </c>
      <c r="C9" s="6" t="s">
        <v>31</v>
      </c>
      <c r="D9" s="6" t="s">
        <v>47</v>
      </c>
      <c r="E9" s="7">
        <v>26166</v>
      </c>
      <c r="F9" s="6" t="s">
        <v>20</v>
      </c>
      <c r="G9" s="8">
        <f t="shared" ca="1" si="0"/>
        <v>54</v>
      </c>
      <c r="H9" s="6" t="s">
        <v>45</v>
      </c>
      <c r="I9" s="6" t="s">
        <v>48</v>
      </c>
      <c r="J9" s="6" t="s">
        <v>49</v>
      </c>
      <c r="K9" s="6">
        <v>5117718</v>
      </c>
      <c r="L9" s="6" t="s">
        <v>30</v>
      </c>
      <c r="M9" s="9">
        <v>2912380</v>
      </c>
      <c r="N9" s="10" t="str">
        <f t="shared" ref="N9:N15" si="5">IF(AND(B9="Administrador",H9="Gerente general"),"ADMINISTRACION")</f>
        <v>ADMINISTRACION</v>
      </c>
      <c r="O9" s="11" t="str">
        <f t="shared" si="2"/>
        <v>Norte</v>
      </c>
      <c r="P9" s="12">
        <f t="shared" si="3"/>
        <v>203866.6</v>
      </c>
      <c r="Q9" s="11" t="str">
        <f t="shared" si="4"/>
        <v>Otro</v>
      </c>
    </row>
    <row r="10" spans="1:17" ht="15.75" thickBot="1" x14ac:dyDescent="0.3">
      <c r="A10" s="5">
        <v>71220544</v>
      </c>
      <c r="B10" s="6" t="s">
        <v>42</v>
      </c>
      <c r="C10" s="6" t="s">
        <v>50</v>
      </c>
      <c r="D10" s="6" t="s">
        <v>51</v>
      </c>
      <c r="E10" s="7">
        <v>35205</v>
      </c>
      <c r="F10" s="6" t="s">
        <v>20</v>
      </c>
      <c r="G10" s="8">
        <f t="shared" ca="1" si="0"/>
        <v>29</v>
      </c>
      <c r="H10" s="6" t="s">
        <v>45</v>
      </c>
      <c r="I10" s="6" t="s">
        <v>48</v>
      </c>
      <c r="J10" s="6" t="s">
        <v>49</v>
      </c>
      <c r="K10" s="6">
        <v>4567782</v>
      </c>
      <c r="L10" s="6" t="s">
        <v>30</v>
      </c>
      <c r="M10" s="9">
        <v>1129296</v>
      </c>
      <c r="N10" s="10" t="str">
        <f t="shared" si="5"/>
        <v>ADMINISTRACION</v>
      </c>
      <c r="O10" s="11" t="str">
        <f t="shared" si="2"/>
        <v>Norte</v>
      </c>
      <c r="P10" s="12">
        <f t="shared" si="3"/>
        <v>79050.720000000001</v>
      </c>
      <c r="Q10" s="11" t="str">
        <f t="shared" si="4"/>
        <v>Otro</v>
      </c>
    </row>
    <row r="11" spans="1:17" ht="15.75" thickBot="1" x14ac:dyDescent="0.3">
      <c r="A11" s="5">
        <v>1128425522</v>
      </c>
      <c r="B11" s="6" t="s">
        <v>42</v>
      </c>
      <c r="C11" s="6" t="s">
        <v>52</v>
      </c>
      <c r="D11" s="6" t="s">
        <v>47</v>
      </c>
      <c r="E11" s="7">
        <v>33029</v>
      </c>
      <c r="F11" s="6" t="s">
        <v>20</v>
      </c>
      <c r="G11" s="8">
        <f t="shared" ca="1" si="0"/>
        <v>35</v>
      </c>
      <c r="H11" s="6" t="s">
        <v>45</v>
      </c>
      <c r="I11" s="6" t="s">
        <v>48</v>
      </c>
      <c r="J11" s="6" t="s">
        <v>49</v>
      </c>
      <c r="K11" s="6">
        <v>5117718</v>
      </c>
      <c r="L11" s="6" t="s">
        <v>30</v>
      </c>
      <c r="M11" s="9">
        <v>8281160</v>
      </c>
      <c r="N11" s="10" t="str">
        <f t="shared" si="5"/>
        <v>ADMINISTRACION</v>
      </c>
      <c r="O11" s="11" t="str">
        <f t="shared" si="2"/>
        <v>Norte</v>
      </c>
      <c r="P11" s="12">
        <f t="shared" si="3"/>
        <v>496869.6</v>
      </c>
      <c r="Q11" s="11" t="str">
        <f t="shared" si="4"/>
        <v>Otro</v>
      </c>
    </row>
    <row r="12" spans="1:17" ht="15.75" thickBot="1" x14ac:dyDescent="0.3">
      <c r="A12" s="5">
        <v>1128425517</v>
      </c>
      <c r="B12" s="6" t="s">
        <v>42</v>
      </c>
      <c r="C12" s="6" t="s">
        <v>50</v>
      </c>
      <c r="D12" s="6" t="s">
        <v>51</v>
      </c>
      <c r="E12" s="7">
        <v>33281</v>
      </c>
      <c r="F12" s="6" t="s">
        <v>20</v>
      </c>
      <c r="G12" s="8">
        <f t="shared" ca="1" si="0"/>
        <v>34</v>
      </c>
      <c r="H12" s="6" t="s">
        <v>45</v>
      </c>
      <c r="I12" s="6" t="s">
        <v>48</v>
      </c>
      <c r="J12" s="6" t="s">
        <v>49</v>
      </c>
      <c r="K12" s="6">
        <v>4567782</v>
      </c>
      <c r="L12" s="6" t="s">
        <v>30</v>
      </c>
      <c r="M12" s="9">
        <v>2088711</v>
      </c>
      <c r="N12" s="10" t="str">
        <f t="shared" si="5"/>
        <v>ADMINISTRACION</v>
      </c>
      <c r="O12" s="11" t="str">
        <f t="shared" si="2"/>
        <v>Norte</v>
      </c>
      <c r="P12" s="12">
        <f t="shared" si="3"/>
        <v>146209.77000000002</v>
      </c>
      <c r="Q12" s="11" t="str">
        <f t="shared" si="4"/>
        <v>Otro</v>
      </c>
    </row>
    <row r="13" spans="1:17" ht="15.75" thickBot="1" x14ac:dyDescent="0.3">
      <c r="A13" s="5">
        <v>71220540</v>
      </c>
      <c r="B13" s="6" t="s">
        <v>42</v>
      </c>
      <c r="C13" s="6" t="s">
        <v>31</v>
      </c>
      <c r="D13" s="6" t="s">
        <v>53</v>
      </c>
      <c r="E13" s="13">
        <v>27123</v>
      </c>
      <c r="F13" s="6" t="s">
        <v>20</v>
      </c>
      <c r="G13" s="8">
        <f t="shared" ca="1" si="0"/>
        <v>51</v>
      </c>
      <c r="H13" s="6" t="s">
        <v>45</v>
      </c>
      <c r="I13" s="6" t="s">
        <v>54</v>
      </c>
      <c r="J13" s="6" t="s">
        <v>23</v>
      </c>
      <c r="K13" s="6">
        <v>2655181</v>
      </c>
      <c r="L13" s="6" t="s">
        <v>55</v>
      </c>
      <c r="M13" s="9">
        <v>5781283</v>
      </c>
      <c r="N13" s="10" t="str">
        <f t="shared" si="5"/>
        <v>ADMINISTRACION</v>
      </c>
      <c r="O13" s="11" t="str">
        <f t="shared" si="2"/>
        <v>Sur</v>
      </c>
      <c r="P13" s="12">
        <f t="shared" si="3"/>
        <v>404689.81000000006</v>
      </c>
      <c r="Q13" s="11" t="str">
        <f t="shared" si="4"/>
        <v>Otro</v>
      </c>
    </row>
    <row r="14" spans="1:17" ht="15.75" thickBot="1" x14ac:dyDescent="0.3">
      <c r="A14" s="5">
        <v>1128425518</v>
      </c>
      <c r="B14" s="6" t="s">
        <v>42</v>
      </c>
      <c r="C14" s="6" t="s">
        <v>56</v>
      </c>
      <c r="D14" s="6" t="s">
        <v>57</v>
      </c>
      <c r="E14" s="7">
        <v>28802</v>
      </c>
      <c r="F14" s="6" t="s">
        <v>20</v>
      </c>
      <c r="G14" s="8">
        <f t="shared" ca="1" si="0"/>
        <v>47</v>
      </c>
      <c r="H14" s="6" t="s">
        <v>45</v>
      </c>
      <c r="I14" s="6" t="s">
        <v>54</v>
      </c>
      <c r="J14" s="6" t="s">
        <v>23</v>
      </c>
      <c r="K14" s="6">
        <v>4567787</v>
      </c>
      <c r="L14" s="6" t="s">
        <v>58</v>
      </c>
      <c r="M14" s="9">
        <v>3516645</v>
      </c>
      <c r="N14" s="10" t="str">
        <f t="shared" si="5"/>
        <v>ADMINISTRACION</v>
      </c>
      <c r="O14" s="11" t="str">
        <f t="shared" si="2"/>
        <v>Centro</v>
      </c>
      <c r="P14" s="12">
        <f t="shared" si="3"/>
        <v>246165.15000000002</v>
      </c>
      <c r="Q14" s="11" t="str">
        <f t="shared" si="4"/>
        <v>Otro</v>
      </c>
    </row>
    <row r="15" spans="1:17" ht="15.75" thickBot="1" x14ac:dyDescent="0.3">
      <c r="A15" s="5">
        <v>1128425519</v>
      </c>
      <c r="B15" s="6" t="s">
        <v>42</v>
      </c>
      <c r="C15" s="6" t="s">
        <v>59</v>
      </c>
      <c r="D15" s="6" t="s">
        <v>53</v>
      </c>
      <c r="E15" s="7">
        <v>26048</v>
      </c>
      <c r="F15" s="6" t="s">
        <v>20</v>
      </c>
      <c r="G15" s="8">
        <f t="shared" ca="1" si="0"/>
        <v>54</v>
      </c>
      <c r="H15" s="6" t="s">
        <v>45</v>
      </c>
      <c r="I15" s="6" t="s">
        <v>54</v>
      </c>
      <c r="J15" s="6" t="s">
        <v>23</v>
      </c>
      <c r="K15" s="6">
        <v>2655181</v>
      </c>
      <c r="L15" s="6" t="s">
        <v>55</v>
      </c>
      <c r="M15" s="9">
        <v>5243484</v>
      </c>
      <c r="N15" s="10" t="str">
        <f t="shared" si="5"/>
        <v>ADMINISTRACION</v>
      </c>
      <c r="O15" s="11" t="str">
        <f t="shared" si="2"/>
        <v>Sur</v>
      </c>
      <c r="P15" s="12">
        <f t="shared" si="3"/>
        <v>367043.88000000006</v>
      </c>
      <c r="Q15" s="11" t="str">
        <f t="shared" si="4"/>
        <v>Otro</v>
      </c>
    </row>
    <row r="16" spans="1:17" ht="15.75" thickBot="1" x14ac:dyDescent="0.3">
      <c r="A16" s="5">
        <v>71220545</v>
      </c>
      <c r="B16" s="6" t="s">
        <v>42</v>
      </c>
      <c r="C16" s="6" t="s">
        <v>60</v>
      </c>
      <c r="D16" s="6" t="s">
        <v>61</v>
      </c>
      <c r="E16" s="7">
        <v>31367</v>
      </c>
      <c r="F16" s="6" t="s">
        <v>20</v>
      </c>
      <c r="G16" s="8">
        <f t="shared" ca="1" si="0"/>
        <v>40</v>
      </c>
      <c r="H16" s="6" t="s">
        <v>45</v>
      </c>
      <c r="I16" s="6" t="s">
        <v>62</v>
      </c>
      <c r="J16" s="6" t="s">
        <v>49</v>
      </c>
      <c r="K16" s="6">
        <v>3022075</v>
      </c>
      <c r="L16" s="6" t="s">
        <v>30</v>
      </c>
      <c r="M16" s="9">
        <v>3468289</v>
      </c>
      <c r="N16" s="10" t="str">
        <f>IF(AND(B16="Administrador",H16="Gerente general"),"ADMINISTRACION","AUXILIAR")</f>
        <v>ADMINISTRACION</v>
      </c>
      <c r="O16" s="11" t="str">
        <f t="shared" si="2"/>
        <v>Norte</v>
      </c>
      <c r="P16" s="12">
        <f t="shared" si="3"/>
        <v>242780.23</v>
      </c>
      <c r="Q16" s="11" t="str">
        <f t="shared" si="4"/>
        <v>Otro</v>
      </c>
    </row>
    <row r="17" spans="1:17" ht="15.75" thickBot="1" x14ac:dyDescent="0.3">
      <c r="A17" s="5">
        <v>1020411607</v>
      </c>
      <c r="B17" s="6" t="s">
        <v>63</v>
      </c>
      <c r="C17" s="6" t="s">
        <v>64</v>
      </c>
      <c r="D17" s="6" t="s">
        <v>65</v>
      </c>
      <c r="E17" s="7">
        <v>29967</v>
      </c>
      <c r="F17" s="6" t="s">
        <v>66</v>
      </c>
      <c r="G17" s="8">
        <f t="shared" ca="1" si="0"/>
        <v>43</v>
      </c>
      <c r="H17" s="6" t="s">
        <v>67</v>
      </c>
      <c r="I17" s="6" t="s">
        <v>68</v>
      </c>
      <c r="J17" s="6" t="s">
        <v>34</v>
      </c>
      <c r="K17" s="6">
        <v>4445560</v>
      </c>
      <c r="L17" s="6" t="s">
        <v>58</v>
      </c>
      <c r="M17" s="9">
        <v>4119523</v>
      </c>
      <c r="N17" s="10" t="str">
        <f>IF(AND(B17="Administrador",H17="Gerente general"),"ADMINISTRACION","AUXILIAR")</f>
        <v>AUXILIAR</v>
      </c>
      <c r="O17" s="11" t="str">
        <f t="shared" si="2"/>
        <v>Centro</v>
      </c>
      <c r="P17" s="12">
        <f t="shared" si="3"/>
        <v>288366.61000000004</v>
      </c>
      <c r="Q17" s="11" t="str">
        <f t="shared" si="4"/>
        <v>Otro</v>
      </c>
    </row>
    <row r="18" spans="1:17" ht="15.75" thickBot="1" x14ac:dyDescent="0.3">
      <c r="A18" s="5">
        <v>71220552</v>
      </c>
      <c r="B18" s="6" t="s">
        <v>63</v>
      </c>
      <c r="C18" s="6" t="s">
        <v>69</v>
      </c>
      <c r="D18" s="6" t="s">
        <v>70</v>
      </c>
      <c r="E18" s="7">
        <v>33999</v>
      </c>
      <c r="F18" s="6" t="s">
        <v>66</v>
      </c>
      <c r="G18" s="8">
        <f t="shared" ca="1" si="0"/>
        <v>32</v>
      </c>
      <c r="H18" s="6" t="s">
        <v>71</v>
      </c>
      <c r="I18" s="6" t="s">
        <v>72</v>
      </c>
      <c r="J18" s="6" t="s">
        <v>41</v>
      </c>
      <c r="K18" s="6">
        <v>5117718</v>
      </c>
      <c r="L18" s="6" t="s">
        <v>24</v>
      </c>
      <c r="M18" s="9">
        <v>5556895</v>
      </c>
      <c r="N18" s="10" t="str">
        <f t="shared" ref="N18:N25" si="6">IF(AND(B18="Contador",H18="Director Comercial"),"CONTABILIDAD")</f>
        <v>CONTABILIDAD</v>
      </c>
      <c r="O18" s="11" t="str">
        <f t="shared" si="2"/>
        <v>Centro</v>
      </c>
      <c r="P18" s="12">
        <f t="shared" si="3"/>
        <v>388982.65</v>
      </c>
      <c r="Q18" s="11" t="str">
        <f t="shared" si="4"/>
        <v>Otro</v>
      </c>
    </row>
    <row r="19" spans="1:17" ht="15.75" thickBot="1" x14ac:dyDescent="0.3">
      <c r="A19" s="5">
        <v>1128425514</v>
      </c>
      <c r="B19" s="6" t="s">
        <v>63</v>
      </c>
      <c r="C19" s="6" t="s">
        <v>73</v>
      </c>
      <c r="D19" s="6" t="s">
        <v>70</v>
      </c>
      <c r="E19" s="7">
        <v>34707</v>
      </c>
      <c r="F19" s="6" t="s">
        <v>66</v>
      </c>
      <c r="G19" s="8">
        <f t="shared" ca="1" si="0"/>
        <v>30</v>
      </c>
      <c r="H19" s="6" t="s">
        <v>71</v>
      </c>
      <c r="I19" s="6" t="s">
        <v>72</v>
      </c>
      <c r="J19" s="6" t="s">
        <v>41</v>
      </c>
      <c r="K19" s="6">
        <v>5117718</v>
      </c>
      <c r="L19" s="6" t="s">
        <v>24</v>
      </c>
      <c r="M19" s="9">
        <v>8861110</v>
      </c>
      <c r="N19" s="10" t="str">
        <f t="shared" si="6"/>
        <v>CONTABILIDAD</v>
      </c>
      <c r="O19" s="11" t="str">
        <f t="shared" si="2"/>
        <v>Centro</v>
      </c>
      <c r="P19" s="12">
        <f t="shared" si="3"/>
        <v>531666.6</v>
      </c>
      <c r="Q19" s="11" t="str">
        <f t="shared" si="4"/>
        <v>Otro</v>
      </c>
    </row>
    <row r="20" spans="1:17" ht="15.75" thickBot="1" x14ac:dyDescent="0.3">
      <c r="A20" s="5">
        <v>1020411614</v>
      </c>
      <c r="B20" s="6" t="s">
        <v>63</v>
      </c>
      <c r="C20" s="6" t="s">
        <v>74</v>
      </c>
      <c r="D20" s="6" t="s">
        <v>75</v>
      </c>
      <c r="E20" s="7">
        <v>32123</v>
      </c>
      <c r="F20" s="6" t="s">
        <v>66</v>
      </c>
      <c r="G20" s="8">
        <f t="shared" ca="1" si="0"/>
        <v>38</v>
      </c>
      <c r="H20" s="6" t="s">
        <v>71</v>
      </c>
      <c r="I20" s="6" t="s">
        <v>28</v>
      </c>
      <c r="J20" s="6" t="s">
        <v>29</v>
      </c>
      <c r="K20" s="6">
        <v>5117718</v>
      </c>
      <c r="L20" s="6" t="s">
        <v>30</v>
      </c>
      <c r="M20" s="9">
        <v>5200573</v>
      </c>
      <c r="N20" s="10" t="str">
        <f t="shared" si="6"/>
        <v>CONTABILIDAD</v>
      </c>
      <c r="O20" s="11" t="str">
        <f t="shared" si="2"/>
        <v>Norte</v>
      </c>
      <c r="P20" s="12">
        <f t="shared" si="3"/>
        <v>364040.11000000004</v>
      </c>
      <c r="Q20" s="11" t="str">
        <f t="shared" si="4"/>
        <v>Otro</v>
      </c>
    </row>
    <row r="21" spans="1:17" ht="15.75" thickBot="1" x14ac:dyDescent="0.3">
      <c r="A21" s="5">
        <v>71220549</v>
      </c>
      <c r="B21" s="6" t="s">
        <v>63</v>
      </c>
      <c r="C21" s="6" t="s">
        <v>76</v>
      </c>
      <c r="D21" s="6" t="s">
        <v>77</v>
      </c>
      <c r="E21" s="7">
        <v>27918</v>
      </c>
      <c r="F21" s="6" t="s">
        <v>66</v>
      </c>
      <c r="G21" s="8">
        <f t="shared" ca="1" si="0"/>
        <v>49</v>
      </c>
      <c r="H21" s="6" t="s">
        <v>71</v>
      </c>
      <c r="I21" s="6" t="s">
        <v>62</v>
      </c>
      <c r="J21" s="6" t="s">
        <v>49</v>
      </c>
      <c r="K21" s="6">
        <v>3022076</v>
      </c>
      <c r="L21" s="6" t="s">
        <v>30</v>
      </c>
      <c r="M21" s="9">
        <v>4238515</v>
      </c>
      <c r="N21" s="10" t="str">
        <f t="shared" si="6"/>
        <v>CONTABILIDAD</v>
      </c>
      <c r="O21" s="11" t="str">
        <f t="shared" si="2"/>
        <v>Norte</v>
      </c>
      <c r="P21" s="12">
        <f t="shared" si="3"/>
        <v>296696.05000000005</v>
      </c>
      <c r="Q21" s="11" t="str">
        <f t="shared" si="4"/>
        <v>Otro</v>
      </c>
    </row>
    <row r="22" spans="1:17" ht="15.75" thickBot="1" x14ac:dyDescent="0.3">
      <c r="A22" s="5">
        <v>1128425523</v>
      </c>
      <c r="B22" s="6" t="s">
        <v>63</v>
      </c>
      <c r="C22" s="6" t="s">
        <v>78</v>
      </c>
      <c r="D22" s="6" t="s">
        <v>77</v>
      </c>
      <c r="E22" s="7">
        <v>34084</v>
      </c>
      <c r="F22" s="6" t="s">
        <v>66</v>
      </c>
      <c r="G22" s="8">
        <f t="shared" ca="1" si="0"/>
        <v>32</v>
      </c>
      <c r="H22" s="6" t="s">
        <v>71</v>
      </c>
      <c r="I22" s="6" t="s">
        <v>62</v>
      </c>
      <c r="J22" s="6" t="s">
        <v>49</v>
      </c>
      <c r="K22" s="6">
        <v>3022076</v>
      </c>
      <c r="L22" s="6" t="s">
        <v>30</v>
      </c>
      <c r="M22" s="9">
        <v>5130655</v>
      </c>
      <c r="N22" s="10" t="str">
        <f t="shared" si="6"/>
        <v>CONTABILIDAD</v>
      </c>
      <c r="O22" s="11" t="str">
        <f t="shared" si="2"/>
        <v>Norte</v>
      </c>
      <c r="P22" s="12">
        <f t="shared" si="3"/>
        <v>359145.85000000003</v>
      </c>
      <c r="Q22" s="11" t="str">
        <f t="shared" si="4"/>
        <v>Otro</v>
      </c>
    </row>
    <row r="23" spans="1:17" ht="15.75" thickBot="1" x14ac:dyDescent="0.3">
      <c r="A23" s="5">
        <v>1020411613</v>
      </c>
      <c r="B23" s="6" t="s">
        <v>63</v>
      </c>
      <c r="C23" s="6" t="s">
        <v>79</v>
      </c>
      <c r="D23" s="6" t="s">
        <v>80</v>
      </c>
      <c r="E23" s="7">
        <v>26505</v>
      </c>
      <c r="F23" s="6" t="s">
        <v>66</v>
      </c>
      <c r="G23" s="8">
        <f t="shared" ca="1" si="0"/>
        <v>53</v>
      </c>
      <c r="H23" s="6" t="s">
        <v>71</v>
      </c>
      <c r="I23" s="6" t="s">
        <v>33</v>
      </c>
      <c r="J23" s="6" t="s">
        <v>34</v>
      </c>
      <c r="K23" s="6">
        <v>5117718</v>
      </c>
      <c r="L23" s="6" t="s">
        <v>35</v>
      </c>
      <c r="M23" s="9">
        <v>1075378</v>
      </c>
      <c r="N23" s="10" t="str">
        <f t="shared" si="6"/>
        <v>CONTABILIDAD</v>
      </c>
      <c r="O23" s="11" t="str">
        <f t="shared" si="2"/>
        <v>Centro</v>
      </c>
      <c r="P23" s="12">
        <f t="shared" si="3"/>
        <v>75276.460000000006</v>
      </c>
      <c r="Q23" s="11" t="str">
        <f t="shared" si="4"/>
        <v>Otro</v>
      </c>
    </row>
    <row r="24" spans="1:17" ht="15.75" thickBot="1" x14ac:dyDescent="0.3">
      <c r="A24" s="5">
        <v>7899427</v>
      </c>
      <c r="B24" s="6" t="s">
        <v>63</v>
      </c>
      <c r="C24" s="6" t="s">
        <v>81</v>
      </c>
      <c r="D24" s="6" t="s">
        <v>82</v>
      </c>
      <c r="E24" s="7">
        <v>28440</v>
      </c>
      <c r="F24" s="6" t="s">
        <v>66</v>
      </c>
      <c r="G24" s="8">
        <f t="shared" ca="1" si="0"/>
        <v>48</v>
      </c>
      <c r="H24" s="6" t="s">
        <v>71</v>
      </c>
      <c r="I24" s="6" t="s">
        <v>33</v>
      </c>
      <c r="J24" s="6" t="s">
        <v>34</v>
      </c>
      <c r="K24" s="6">
        <v>2655185</v>
      </c>
      <c r="L24" s="6" t="s">
        <v>35</v>
      </c>
      <c r="M24" s="9">
        <v>4960759</v>
      </c>
      <c r="N24" s="10" t="str">
        <f t="shared" si="6"/>
        <v>CONTABILIDAD</v>
      </c>
      <c r="O24" s="11" t="str">
        <f t="shared" si="2"/>
        <v>Centro</v>
      </c>
      <c r="P24" s="12">
        <f t="shared" si="3"/>
        <v>347253.13</v>
      </c>
      <c r="Q24" s="11" t="str">
        <f t="shared" si="4"/>
        <v>Otro</v>
      </c>
    </row>
    <row r="25" spans="1:17" ht="15.75" thickBot="1" x14ac:dyDescent="0.3">
      <c r="A25" s="5">
        <v>1128425527</v>
      </c>
      <c r="B25" s="6" t="s">
        <v>63</v>
      </c>
      <c r="C25" s="6" t="s">
        <v>64</v>
      </c>
      <c r="D25" s="6" t="s">
        <v>80</v>
      </c>
      <c r="E25" s="7">
        <v>36046</v>
      </c>
      <c r="F25" s="6" t="s">
        <v>66</v>
      </c>
      <c r="G25" s="8">
        <f t="shared" ca="1" si="0"/>
        <v>27</v>
      </c>
      <c r="H25" s="6" t="s">
        <v>71</v>
      </c>
      <c r="I25" s="6" t="s">
        <v>33</v>
      </c>
      <c r="J25" s="6" t="s">
        <v>34</v>
      </c>
      <c r="K25" s="6">
        <v>5117718</v>
      </c>
      <c r="L25" s="6" t="s">
        <v>35</v>
      </c>
      <c r="M25" s="9">
        <v>3959197</v>
      </c>
      <c r="N25" s="10" t="str">
        <f t="shared" si="6"/>
        <v>CONTABILIDAD</v>
      </c>
      <c r="O25" s="11" t="str">
        <f t="shared" si="2"/>
        <v>Centro</v>
      </c>
      <c r="P25" s="12">
        <f t="shared" si="3"/>
        <v>277143.79000000004</v>
      </c>
      <c r="Q25" s="11" t="str">
        <f t="shared" si="4"/>
        <v>Otro</v>
      </c>
    </row>
    <row r="26" spans="1:17" ht="15.75" thickBot="1" x14ac:dyDescent="0.3">
      <c r="A26" s="5">
        <v>1020411610</v>
      </c>
      <c r="B26" s="6" t="s">
        <v>83</v>
      </c>
      <c r="C26" s="6" t="s">
        <v>59</v>
      </c>
      <c r="D26" s="6" t="s">
        <v>84</v>
      </c>
      <c r="E26" s="7">
        <v>27965</v>
      </c>
      <c r="F26" s="6" t="s">
        <v>20</v>
      </c>
      <c r="G26" s="8">
        <f t="shared" ca="1" si="0"/>
        <v>49</v>
      </c>
      <c r="H26" s="6" t="s">
        <v>85</v>
      </c>
      <c r="I26" s="6" t="s">
        <v>46</v>
      </c>
      <c r="J26" s="6" t="s">
        <v>41</v>
      </c>
      <c r="K26" s="6">
        <v>3322649</v>
      </c>
      <c r="L26" s="6" t="s">
        <v>30</v>
      </c>
      <c r="M26" s="9">
        <v>8281160</v>
      </c>
      <c r="N26" s="10" t="str">
        <f>IF(AND(B26="Ingeniero",H26="Presidente"),"PRESIDENCIA")</f>
        <v>PRESIDENCIA</v>
      </c>
      <c r="O26" s="11" t="str">
        <f t="shared" si="2"/>
        <v>Norte</v>
      </c>
      <c r="P26" s="12">
        <f t="shared" si="3"/>
        <v>414058</v>
      </c>
      <c r="Q26" s="11" t="str">
        <f t="shared" si="4"/>
        <v>Otro</v>
      </c>
    </row>
    <row r="27" spans="1:17" ht="15.75" thickBot="1" x14ac:dyDescent="0.3">
      <c r="A27" s="5">
        <v>1128425521</v>
      </c>
      <c r="B27" s="6" t="s">
        <v>83</v>
      </c>
      <c r="C27" s="6" t="s">
        <v>26</v>
      </c>
      <c r="D27" s="6" t="s">
        <v>84</v>
      </c>
      <c r="E27" s="7">
        <v>31722</v>
      </c>
      <c r="F27" s="6" t="s">
        <v>20</v>
      </c>
      <c r="G27" s="8">
        <f t="shared" ca="1" si="0"/>
        <v>39</v>
      </c>
      <c r="H27" s="6" t="s">
        <v>85</v>
      </c>
      <c r="I27" s="6" t="s">
        <v>46</v>
      </c>
      <c r="J27" s="6" t="s">
        <v>41</v>
      </c>
      <c r="K27" s="6">
        <v>3322649</v>
      </c>
      <c r="L27" s="6" t="s">
        <v>30</v>
      </c>
      <c r="M27" s="9">
        <v>2942019</v>
      </c>
      <c r="N27" s="10" t="str">
        <f t="shared" ref="N27:N28" si="7">IF(AND(B27="Ingeniero",H27="Presidente"),"PRESIDENCIA")</f>
        <v>PRESIDENCIA</v>
      </c>
      <c r="O27" s="11" t="str">
        <f t="shared" si="2"/>
        <v>Norte</v>
      </c>
      <c r="P27" s="12">
        <f t="shared" si="3"/>
        <v>205941.33000000002</v>
      </c>
      <c r="Q27" s="11" t="str">
        <f t="shared" si="4"/>
        <v>Otro</v>
      </c>
    </row>
    <row r="28" spans="1:17" ht="15.75" thickBot="1" x14ac:dyDescent="0.3">
      <c r="A28" s="5">
        <v>6355367</v>
      </c>
      <c r="B28" s="6" t="s">
        <v>83</v>
      </c>
      <c r="C28" s="6" t="s">
        <v>86</v>
      </c>
      <c r="D28" s="6" t="s">
        <v>87</v>
      </c>
      <c r="E28" s="7">
        <v>34470</v>
      </c>
      <c r="F28" s="6" t="s">
        <v>20</v>
      </c>
      <c r="G28" s="8">
        <f t="shared" ca="1" si="0"/>
        <v>31</v>
      </c>
      <c r="H28" s="6" t="s">
        <v>85</v>
      </c>
      <c r="I28" s="6" t="s">
        <v>22</v>
      </c>
      <c r="J28" s="6" t="s">
        <v>23</v>
      </c>
      <c r="K28" s="6">
        <v>2655183</v>
      </c>
      <c r="L28" s="6" t="s">
        <v>55</v>
      </c>
      <c r="M28" s="9">
        <v>3439485</v>
      </c>
      <c r="N28" s="10" t="str">
        <f t="shared" si="7"/>
        <v>PRESIDENCIA</v>
      </c>
      <c r="O28" s="11" t="str">
        <f t="shared" si="2"/>
        <v>Sur</v>
      </c>
      <c r="P28" s="12">
        <f t="shared" si="3"/>
        <v>206369.1</v>
      </c>
      <c r="Q28" s="11" t="str">
        <f t="shared" si="4"/>
        <v>Otro</v>
      </c>
    </row>
    <row r="29" spans="1:17" ht="15.75" thickBot="1" x14ac:dyDescent="0.3">
      <c r="A29" s="5">
        <v>71220550</v>
      </c>
      <c r="B29" s="6" t="s">
        <v>88</v>
      </c>
      <c r="C29" s="6" t="s">
        <v>89</v>
      </c>
      <c r="D29" s="6" t="s">
        <v>90</v>
      </c>
      <c r="E29" s="7">
        <v>26224</v>
      </c>
      <c r="F29" s="6" t="s">
        <v>20</v>
      </c>
      <c r="G29" s="8">
        <f t="shared" ca="1" si="0"/>
        <v>54</v>
      </c>
      <c r="H29" s="6" t="s">
        <v>91</v>
      </c>
      <c r="I29" s="6" t="s">
        <v>46</v>
      </c>
      <c r="J29" s="6" t="s">
        <v>41</v>
      </c>
      <c r="K29" s="6">
        <v>5117718</v>
      </c>
      <c r="L29" s="6" t="s">
        <v>30</v>
      </c>
      <c r="M29" s="9">
        <v>8281160</v>
      </c>
      <c r="N29" s="10" t="str">
        <f>IF(AND(B29="Medico",H29="Gerente Administrativo"),"SALUD")</f>
        <v>SALUD</v>
      </c>
      <c r="O29" s="11" t="str">
        <f t="shared" si="2"/>
        <v>Norte</v>
      </c>
      <c r="P29" s="12">
        <f t="shared" si="3"/>
        <v>414058</v>
      </c>
      <c r="Q29" s="11" t="str">
        <f t="shared" si="4"/>
        <v>Blanco</v>
      </c>
    </row>
    <row r="30" spans="1:17" ht="15.75" thickBot="1" x14ac:dyDescent="0.3">
      <c r="A30" s="5">
        <v>1128425524</v>
      </c>
      <c r="B30" s="6" t="s">
        <v>88</v>
      </c>
      <c r="C30" s="6" t="s">
        <v>92</v>
      </c>
      <c r="D30" s="6" t="s">
        <v>90</v>
      </c>
      <c r="E30" s="7">
        <v>35689</v>
      </c>
      <c r="F30" s="6" t="s">
        <v>20</v>
      </c>
      <c r="G30" s="8">
        <f t="shared" ca="1" si="0"/>
        <v>28</v>
      </c>
      <c r="H30" s="6" t="s">
        <v>91</v>
      </c>
      <c r="I30" s="6" t="s">
        <v>46</v>
      </c>
      <c r="J30" s="6" t="s">
        <v>41</v>
      </c>
      <c r="K30" s="6">
        <v>5117718</v>
      </c>
      <c r="L30" s="6" t="s">
        <v>30</v>
      </c>
      <c r="M30" s="9">
        <v>5702952</v>
      </c>
      <c r="N30" s="10" t="str">
        <f t="shared" ref="N30:N31" si="8">IF(AND(B30="Medico",H30="Gerente Administrativo"),"SALUD")</f>
        <v>SALUD</v>
      </c>
      <c r="O30" s="11" t="str">
        <f t="shared" si="2"/>
        <v>Norte</v>
      </c>
      <c r="P30" s="12">
        <f t="shared" si="3"/>
        <v>285147.60000000003</v>
      </c>
      <c r="Q30" s="11" t="str">
        <f t="shared" si="4"/>
        <v>Blanco</v>
      </c>
    </row>
    <row r="31" spans="1:17" ht="15.75" thickBot="1" x14ac:dyDescent="0.3">
      <c r="A31" s="5">
        <v>7899428</v>
      </c>
      <c r="B31" s="6" t="s">
        <v>88</v>
      </c>
      <c r="C31" s="6" t="s">
        <v>93</v>
      </c>
      <c r="D31" s="6" t="s">
        <v>94</v>
      </c>
      <c r="E31" s="7">
        <v>25732</v>
      </c>
      <c r="F31" s="6" t="s">
        <v>20</v>
      </c>
      <c r="G31" s="8">
        <f t="shared" ca="1" si="0"/>
        <v>55</v>
      </c>
      <c r="H31" s="6" t="s">
        <v>91</v>
      </c>
      <c r="I31" s="6" t="s">
        <v>33</v>
      </c>
      <c r="J31" s="6" t="s">
        <v>34</v>
      </c>
      <c r="K31" s="6">
        <v>3022072</v>
      </c>
      <c r="L31" s="6" t="s">
        <v>35</v>
      </c>
      <c r="M31" s="9">
        <v>4974848</v>
      </c>
      <c r="N31" s="10" t="str">
        <f t="shared" si="8"/>
        <v>SALUD</v>
      </c>
      <c r="O31" s="11" t="str">
        <f t="shared" si="2"/>
        <v>Centro</v>
      </c>
      <c r="P31" s="12">
        <f t="shared" si="3"/>
        <v>348239.36000000004</v>
      </c>
      <c r="Q31" s="11" t="str">
        <f t="shared" si="4"/>
        <v>Blanco</v>
      </c>
    </row>
    <row r="32" spans="1:17" ht="15.75" thickBot="1" x14ac:dyDescent="0.3">
      <c r="A32" s="5">
        <v>1020411615</v>
      </c>
      <c r="B32" s="6" t="s">
        <v>95</v>
      </c>
      <c r="C32" s="6" t="s">
        <v>96</v>
      </c>
      <c r="D32" s="6" t="s">
        <v>97</v>
      </c>
      <c r="E32" s="7">
        <v>27363</v>
      </c>
      <c r="F32" s="6" t="s">
        <v>20</v>
      </c>
      <c r="G32" s="8">
        <f t="shared" ca="1" si="0"/>
        <v>51</v>
      </c>
      <c r="H32" s="6" t="s">
        <v>91</v>
      </c>
      <c r="I32" s="6" t="s">
        <v>48</v>
      </c>
      <c r="J32" s="6" t="s">
        <v>49</v>
      </c>
      <c r="K32" s="6">
        <v>4567785</v>
      </c>
      <c r="L32" s="6" t="s">
        <v>30</v>
      </c>
      <c r="M32" s="9">
        <v>3798346</v>
      </c>
      <c r="N32" s="10" t="str">
        <f>IF(AND(B32="Medico",H32="Gerente Administrativo"),"SALUD","AUXILIAR")</f>
        <v>AUXILIAR</v>
      </c>
      <c r="O32" s="11" t="str">
        <f t="shared" si="2"/>
        <v>Norte</v>
      </c>
      <c r="P32" s="12">
        <f t="shared" si="3"/>
        <v>265884.22000000003</v>
      </c>
      <c r="Q32" s="11" t="str">
        <f t="shared" si="4"/>
        <v>Otro</v>
      </c>
    </row>
    <row r="33" spans="1:17" ht="15.75" thickBot="1" x14ac:dyDescent="0.3">
      <c r="A33" s="5">
        <v>71220546</v>
      </c>
      <c r="B33" s="6" t="s">
        <v>95</v>
      </c>
      <c r="C33" s="6" t="s">
        <v>25</v>
      </c>
      <c r="D33" s="6" t="s">
        <v>98</v>
      </c>
      <c r="E33" s="7">
        <v>27059</v>
      </c>
      <c r="F33" s="6" t="s">
        <v>20</v>
      </c>
      <c r="G33" s="8">
        <f t="shared" ca="1" si="0"/>
        <v>51</v>
      </c>
      <c r="H33" s="6" t="s">
        <v>91</v>
      </c>
      <c r="I33" s="6" t="s">
        <v>28</v>
      </c>
      <c r="J33" s="6" t="s">
        <v>29</v>
      </c>
      <c r="K33" s="6">
        <v>4445556</v>
      </c>
      <c r="L33" s="6" t="s">
        <v>30</v>
      </c>
      <c r="M33" s="9">
        <v>5491326</v>
      </c>
      <c r="N33" s="10" t="str">
        <f t="shared" ref="N33:N37" si="9">IF(AND(B33="Medico",H33="Gerente Administrativo"),"SALUD","AUXILIAR")</f>
        <v>AUXILIAR</v>
      </c>
      <c r="O33" s="11" t="str">
        <f t="shared" si="2"/>
        <v>Norte</v>
      </c>
      <c r="P33" s="12">
        <f t="shared" si="3"/>
        <v>384392.82000000007</v>
      </c>
      <c r="Q33" s="11" t="str">
        <f t="shared" si="4"/>
        <v>Otro</v>
      </c>
    </row>
    <row r="34" spans="1:17" ht="15.75" thickBot="1" x14ac:dyDescent="0.3">
      <c r="A34" s="5">
        <v>1128425528</v>
      </c>
      <c r="B34" s="6" t="s">
        <v>95</v>
      </c>
      <c r="C34" s="6" t="s">
        <v>99</v>
      </c>
      <c r="D34" s="6" t="s">
        <v>98</v>
      </c>
      <c r="E34" s="7">
        <v>31639</v>
      </c>
      <c r="F34" s="6" t="s">
        <v>20</v>
      </c>
      <c r="G34" s="8">
        <f t="shared" ca="1" si="0"/>
        <v>39</v>
      </c>
      <c r="H34" s="6" t="s">
        <v>91</v>
      </c>
      <c r="I34" s="6" t="s">
        <v>28</v>
      </c>
      <c r="J34" s="6" t="s">
        <v>29</v>
      </c>
      <c r="K34" s="6">
        <v>4445556</v>
      </c>
      <c r="L34" s="6" t="s">
        <v>30</v>
      </c>
      <c r="M34" s="9">
        <v>2129381</v>
      </c>
      <c r="N34" s="10" t="str">
        <f t="shared" si="9"/>
        <v>AUXILIAR</v>
      </c>
      <c r="O34" s="11" t="str">
        <f t="shared" si="2"/>
        <v>Norte</v>
      </c>
      <c r="P34" s="12">
        <f t="shared" si="3"/>
        <v>149056.67000000001</v>
      </c>
      <c r="Q34" s="11" t="str">
        <f t="shared" si="4"/>
        <v>Otro</v>
      </c>
    </row>
    <row r="35" spans="1:17" ht="15.75" thickBot="1" x14ac:dyDescent="0.3">
      <c r="A35" s="5">
        <v>1020411608</v>
      </c>
      <c r="B35" s="6" t="s">
        <v>95</v>
      </c>
      <c r="C35" s="6" t="s">
        <v>100</v>
      </c>
      <c r="D35" s="6" t="s">
        <v>101</v>
      </c>
      <c r="E35" s="7">
        <v>26706</v>
      </c>
      <c r="F35" s="6" t="s">
        <v>20</v>
      </c>
      <c r="G35" s="8">
        <f t="shared" ca="1" si="0"/>
        <v>52</v>
      </c>
      <c r="H35" s="6" t="s">
        <v>91</v>
      </c>
      <c r="I35" s="6" t="s">
        <v>54</v>
      </c>
      <c r="J35" s="6" t="s">
        <v>23</v>
      </c>
      <c r="K35" s="6">
        <v>3322647</v>
      </c>
      <c r="L35" s="6" t="s">
        <v>55</v>
      </c>
      <c r="M35" s="9">
        <v>8281160</v>
      </c>
      <c r="N35" s="10" t="str">
        <f t="shared" si="9"/>
        <v>AUXILIAR</v>
      </c>
      <c r="O35" s="11" t="str">
        <f t="shared" si="2"/>
        <v>Sur</v>
      </c>
      <c r="P35" s="12">
        <f t="shared" si="3"/>
        <v>496869.6</v>
      </c>
      <c r="Q35" s="11" t="str">
        <f t="shared" si="4"/>
        <v>Otro</v>
      </c>
    </row>
    <row r="36" spans="1:17" ht="15.75" thickBot="1" x14ac:dyDescent="0.3">
      <c r="A36" s="5">
        <v>71220542</v>
      </c>
      <c r="B36" s="6" t="s">
        <v>95</v>
      </c>
      <c r="C36" s="6" t="s">
        <v>102</v>
      </c>
      <c r="D36" s="6" t="s">
        <v>103</v>
      </c>
      <c r="E36" s="7">
        <v>35584</v>
      </c>
      <c r="F36" s="6" t="s">
        <v>20</v>
      </c>
      <c r="G36" s="8">
        <f t="shared" ca="1" si="0"/>
        <v>28</v>
      </c>
      <c r="H36" s="6" t="s">
        <v>91</v>
      </c>
      <c r="I36" s="6" t="s">
        <v>40</v>
      </c>
      <c r="J36" s="6" t="s">
        <v>41</v>
      </c>
      <c r="K36" s="6">
        <v>5117718</v>
      </c>
      <c r="L36" s="6" t="s">
        <v>24</v>
      </c>
      <c r="M36" s="9">
        <v>3320813</v>
      </c>
      <c r="N36" s="10" t="str">
        <f t="shared" si="9"/>
        <v>AUXILIAR</v>
      </c>
      <c r="O36" s="11" t="str">
        <f t="shared" si="2"/>
        <v>Centro</v>
      </c>
      <c r="P36" s="12">
        <f t="shared" si="3"/>
        <v>232456.91000000003</v>
      </c>
      <c r="Q36" s="11" t="str">
        <f t="shared" si="4"/>
        <v>Otro</v>
      </c>
    </row>
    <row r="37" spans="1:17" ht="15.75" thickBot="1" x14ac:dyDescent="0.3">
      <c r="A37" s="5">
        <v>1128425515</v>
      </c>
      <c r="B37" s="6" t="s">
        <v>95</v>
      </c>
      <c r="C37" s="6" t="s">
        <v>104</v>
      </c>
      <c r="D37" s="6" t="s">
        <v>103</v>
      </c>
      <c r="E37" s="7">
        <v>27453</v>
      </c>
      <c r="F37" s="6" t="s">
        <v>20</v>
      </c>
      <c r="G37" s="8">
        <f t="shared" ca="1" si="0"/>
        <v>50</v>
      </c>
      <c r="H37" s="6" t="s">
        <v>91</v>
      </c>
      <c r="I37" s="6" t="s">
        <v>40</v>
      </c>
      <c r="J37" s="6" t="s">
        <v>41</v>
      </c>
      <c r="K37" s="6">
        <v>5117718</v>
      </c>
      <c r="L37" s="6" t="s">
        <v>24</v>
      </c>
      <c r="M37" s="9">
        <v>3521665</v>
      </c>
      <c r="N37" s="10" t="str">
        <f t="shared" si="9"/>
        <v>AUXILIAR</v>
      </c>
      <c r="O37" s="11" t="str">
        <f t="shared" si="2"/>
        <v>Centro</v>
      </c>
      <c r="P37" s="12">
        <f t="shared" si="3"/>
        <v>246516.55000000002</v>
      </c>
      <c r="Q37" s="11" t="str">
        <f t="shared" si="4"/>
        <v>Otro</v>
      </c>
    </row>
    <row r="38" spans="1:17" ht="15.75" thickBot="1" x14ac:dyDescent="0.3">
      <c r="A38" s="5">
        <v>1020411611</v>
      </c>
      <c r="B38" s="6" t="s">
        <v>105</v>
      </c>
      <c r="C38" s="6" t="s">
        <v>69</v>
      </c>
      <c r="D38" s="6" t="s">
        <v>106</v>
      </c>
      <c r="E38" s="7">
        <v>28429</v>
      </c>
      <c r="F38" s="6" t="s">
        <v>66</v>
      </c>
      <c r="G38" s="8">
        <f t="shared" ca="1" si="0"/>
        <v>48</v>
      </c>
      <c r="H38" s="6" t="s">
        <v>107</v>
      </c>
      <c r="I38" s="6" t="s">
        <v>46</v>
      </c>
      <c r="J38" s="6" t="s">
        <v>41</v>
      </c>
      <c r="K38" s="6">
        <v>3022074</v>
      </c>
      <c r="L38" s="6" t="s">
        <v>30</v>
      </c>
      <c r="M38" s="9">
        <v>4242292</v>
      </c>
      <c r="N38" s="10" t="str">
        <f>IF(AND(B38="Psicologo",H38="Salud Mental"),"RRHH")</f>
        <v>RRHH</v>
      </c>
      <c r="O38" s="11" t="str">
        <f t="shared" si="2"/>
        <v>Norte</v>
      </c>
      <c r="P38" s="12">
        <f t="shared" si="3"/>
        <v>296960.44</v>
      </c>
      <c r="Q38" s="11" t="str">
        <f t="shared" si="4"/>
        <v>Azul</v>
      </c>
    </row>
    <row r="39" spans="1:17" ht="15.75" thickBot="1" x14ac:dyDescent="0.3">
      <c r="A39" s="5">
        <v>6355366</v>
      </c>
      <c r="B39" s="6" t="s">
        <v>105</v>
      </c>
      <c r="C39" s="6" t="s">
        <v>108</v>
      </c>
      <c r="D39" s="6" t="s">
        <v>109</v>
      </c>
      <c r="E39" s="7">
        <v>34480</v>
      </c>
      <c r="F39" s="6" t="s">
        <v>66</v>
      </c>
      <c r="G39" s="8">
        <f t="shared" ca="1" si="0"/>
        <v>31</v>
      </c>
      <c r="H39" s="6" t="s">
        <v>107</v>
      </c>
      <c r="I39" s="6" t="s">
        <v>46</v>
      </c>
      <c r="J39" s="6" t="s">
        <v>41</v>
      </c>
      <c r="K39" s="6">
        <v>4445558</v>
      </c>
      <c r="L39" s="6" t="s">
        <v>30</v>
      </c>
      <c r="M39" s="9">
        <v>8281160</v>
      </c>
      <c r="N39" s="10" t="str">
        <f t="shared" ref="N39:N49" si="10">IF(AND(B39="Psicologo",H39="Salud Mental"),"RRHH")</f>
        <v>RRHH</v>
      </c>
      <c r="O39" s="11" t="str">
        <f t="shared" si="2"/>
        <v>Norte</v>
      </c>
      <c r="P39" s="12">
        <f t="shared" si="3"/>
        <v>414058</v>
      </c>
      <c r="Q39" s="11" t="str">
        <f t="shared" si="4"/>
        <v>Azul</v>
      </c>
    </row>
    <row r="40" spans="1:17" ht="15.75" thickBot="1" x14ac:dyDescent="0.3">
      <c r="A40" s="5">
        <v>1020411609</v>
      </c>
      <c r="B40" s="6" t="s">
        <v>105</v>
      </c>
      <c r="C40" s="6" t="s">
        <v>110</v>
      </c>
      <c r="D40" s="6" t="s">
        <v>111</v>
      </c>
      <c r="E40" s="7">
        <v>28657</v>
      </c>
      <c r="F40" s="6" t="s">
        <v>66</v>
      </c>
      <c r="G40" s="8">
        <f t="shared" ca="1" si="0"/>
        <v>47</v>
      </c>
      <c r="H40" s="6" t="s">
        <v>107</v>
      </c>
      <c r="I40" s="6" t="s">
        <v>46</v>
      </c>
      <c r="J40" s="6" t="s">
        <v>41</v>
      </c>
      <c r="K40" s="6">
        <v>3322648</v>
      </c>
      <c r="L40" s="6" t="s">
        <v>30</v>
      </c>
      <c r="M40" s="9">
        <v>14279060</v>
      </c>
      <c r="N40" s="10" t="str">
        <f t="shared" si="10"/>
        <v>RRHH</v>
      </c>
      <c r="O40" s="11" t="str">
        <f t="shared" si="2"/>
        <v>Norte</v>
      </c>
      <c r="P40" s="12">
        <f t="shared" si="3"/>
        <v>713953</v>
      </c>
      <c r="Q40" s="11" t="str">
        <f t="shared" si="4"/>
        <v>Azul</v>
      </c>
    </row>
    <row r="41" spans="1:17" ht="15.75" thickBot="1" x14ac:dyDescent="0.3">
      <c r="A41" s="5">
        <v>1128425525</v>
      </c>
      <c r="B41" s="6" t="s">
        <v>105</v>
      </c>
      <c r="C41" s="6" t="s">
        <v>112</v>
      </c>
      <c r="D41" s="6" t="s">
        <v>106</v>
      </c>
      <c r="E41" s="7">
        <v>34423</v>
      </c>
      <c r="F41" s="6" t="s">
        <v>66</v>
      </c>
      <c r="G41" s="8">
        <f t="shared" ca="1" si="0"/>
        <v>31</v>
      </c>
      <c r="H41" s="6" t="s">
        <v>107</v>
      </c>
      <c r="I41" s="6" t="s">
        <v>46</v>
      </c>
      <c r="J41" s="6" t="s">
        <v>41</v>
      </c>
      <c r="K41" s="6">
        <v>3022074</v>
      </c>
      <c r="L41" s="6" t="s">
        <v>30</v>
      </c>
      <c r="M41" s="9">
        <v>8281160</v>
      </c>
      <c r="N41" s="10" t="str">
        <f t="shared" si="10"/>
        <v>RRHH</v>
      </c>
      <c r="O41" s="11" t="str">
        <f t="shared" si="2"/>
        <v>Norte</v>
      </c>
      <c r="P41" s="12">
        <f t="shared" si="3"/>
        <v>414058</v>
      </c>
      <c r="Q41" s="11" t="str">
        <f t="shared" si="4"/>
        <v>Azul</v>
      </c>
    </row>
    <row r="42" spans="1:17" ht="15.75" thickBot="1" x14ac:dyDescent="0.3">
      <c r="A42" s="5">
        <v>71220543</v>
      </c>
      <c r="B42" s="6" t="s">
        <v>105</v>
      </c>
      <c r="C42" s="6" t="s">
        <v>113</v>
      </c>
      <c r="D42" s="6" t="s">
        <v>114</v>
      </c>
      <c r="E42" s="7">
        <v>29514</v>
      </c>
      <c r="F42" s="6" t="s">
        <v>66</v>
      </c>
      <c r="G42" s="8">
        <f t="shared" ca="1" si="0"/>
        <v>45</v>
      </c>
      <c r="H42" s="6" t="s">
        <v>107</v>
      </c>
      <c r="I42" s="6" t="s">
        <v>68</v>
      </c>
      <c r="J42" s="6" t="s">
        <v>34</v>
      </c>
      <c r="K42" s="6">
        <v>3322650</v>
      </c>
      <c r="L42" s="6" t="s">
        <v>55</v>
      </c>
      <c r="M42" s="9">
        <v>15064610</v>
      </c>
      <c r="N42" s="10" t="str">
        <f t="shared" si="10"/>
        <v>RRHH</v>
      </c>
      <c r="O42" s="11" t="str">
        <f t="shared" si="2"/>
        <v>Sur</v>
      </c>
      <c r="P42" s="12">
        <f t="shared" si="3"/>
        <v>903876.6</v>
      </c>
      <c r="Q42" s="11" t="str">
        <f t="shared" si="4"/>
        <v>Azul</v>
      </c>
    </row>
    <row r="43" spans="1:17" ht="15.75" thickBot="1" x14ac:dyDescent="0.3">
      <c r="A43" s="5">
        <v>1128425516</v>
      </c>
      <c r="B43" s="6" t="s">
        <v>105</v>
      </c>
      <c r="C43" s="6" t="s">
        <v>115</v>
      </c>
      <c r="D43" s="6" t="s">
        <v>114</v>
      </c>
      <c r="E43" s="7">
        <v>27310</v>
      </c>
      <c r="F43" s="6" t="s">
        <v>66</v>
      </c>
      <c r="G43" s="8">
        <f t="shared" ca="1" si="0"/>
        <v>51</v>
      </c>
      <c r="H43" s="6" t="s">
        <v>107</v>
      </c>
      <c r="I43" s="6" t="s">
        <v>68</v>
      </c>
      <c r="J43" s="6" t="s">
        <v>34</v>
      </c>
      <c r="K43" s="6">
        <v>3322650</v>
      </c>
      <c r="L43" s="6" t="s">
        <v>55</v>
      </c>
      <c r="M43" s="9">
        <v>2969467</v>
      </c>
      <c r="N43" s="10" t="str">
        <f t="shared" si="10"/>
        <v>RRHH</v>
      </c>
      <c r="O43" s="11" t="str">
        <f t="shared" si="2"/>
        <v>Sur</v>
      </c>
      <c r="P43" s="12">
        <f t="shared" si="3"/>
        <v>207862.69000000003</v>
      </c>
      <c r="Q43" s="11" t="str">
        <f t="shared" si="4"/>
        <v>Azul</v>
      </c>
    </row>
    <row r="44" spans="1:17" ht="15.75" thickBot="1" x14ac:dyDescent="0.3">
      <c r="A44" s="5">
        <v>1020411605</v>
      </c>
      <c r="B44" s="6" t="s">
        <v>105</v>
      </c>
      <c r="C44" s="6" t="s">
        <v>112</v>
      </c>
      <c r="D44" s="6" t="s">
        <v>116</v>
      </c>
      <c r="E44" s="7">
        <v>36340</v>
      </c>
      <c r="F44" s="6" t="s">
        <v>66</v>
      </c>
      <c r="G44" s="8">
        <f t="shared" ca="1" si="0"/>
        <v>26</v>
      </c>
      <c r="H44" s="6" t="s">
        <v>107</v>
      </c>
      <c r="I44" s="6" t="s">
        <v>72</v>
      </c>
      <c r="J44" s="6" t="s">
        <v>41</v>
      </c>
      <c r="K44" s="6">
        <v>2655184</v>
      </c>
      <c r="L44" s="6" t="s">
        <v>24</v>
      </c>
      <c r="M44" s="9">
        <v>2676247</v>
      </c>
      <c r="N44" s="10" t="str">
        <f t="shared" si="10"/>
        <v>RRHH</v>
      </c>
      <c r="O44" s="11" t="str">
        <f t="shared" si="2"/>
        <v>Centro</v>
      </c>
      <c r="P44" s="12">
        <f t="shared" si="3"/>
        <v>187337.29</v>
      </c>
      <c r="Q44" s="11" t="str">
        <f t="shared" si="4"/>
        <v>Azul</v>
      </c>
    </row>
    <row r="45" spans="1:17" ht="15.75" thickBot="1" x14ac:dyDescent="0.3">
      <c r="A45" s="5">
        <v>71220547</v>
      </c>
      <c r="B45" s="6" t="s">
        <v>105</v>
      </c>
      <c r="C45" s="6" t="s">
        <v>117</v>
      </c>
      <c r="D45" s="6" t="s">
        <v>118</v>
      </c>
      <c r="E45" s="7">
        <v>31978</v>
      </c>
      <c r="F45" s="6" t="s">
        <v>66</v>
      </c>
      <c r="G45" s="8">
        <f t="shared" ca="1" si="0"/>
        <v>38</v>
      </c>
      <c r="H45" s="6" t="s">
        <v>107</v>
      </c>
      <c r="I45" s="6" t="s">
        <v>28</v>
      </c>
      <c r="J45" s="6" t="s">
        <v>29</v>
      </c>
      <c r="K45" s="6">
        <v>4567784</v>
      </c>
      <c r="L45" s="6" t="s">
        <v>30</v>
      </c>
      <c r="M45" s="9">
        <v>5070202</v>
      </c>
      <c r="N45" s="10" t="str">
        <f t="shared" si="10"/>
        <v>RRHH</v>
      </c>
      <c r="O45" s="11" t="str">
        <f t="shared" si="2"/>
        <v>Norte</v>
      </c>
      <c r="P45" s="12">
        <f t="shared" si="3"/>
        <v>354914.14</v>
      </c>
      <c r="Q45" s="11" t="str">
        <f t="shared" si="4"/>
        <v>Azul</v>
      </c>
    </row>
    <row r="46" spans="1:17" ht="15.75" thickBot="1" x14ac:dyDescent="0.3">
      <c r="A46" s="5">
        <v>1128425529</v>
      </c>
      <c r="B46" s="6" t="s">
        <v>105</v>
      </c>
      <c r="C46" s="6" t="s">
        <v>119</v>
      </c>
      <c r="D46" s="6" t="s">
        <v>118</v>
      </c>
      <c r="E46" s="7">
        <v>28864</v>
      </c>
      <c r="F46" s="6" t="s">
        <v>66</v>
      </c>
      <c r="G46" s="8">
        <f t="shared" ca="1" si="0"/>
        <v>46</v>
      </c>
      <c r="H46" s="6" t="s">
        <v>107</v>
      </c>
      <c r="I46" s="6" t="s">
        <v>28</v>
      </c>
      <c r="J46" s="6" t="s">
        <v>29</v>
      </c>
      <c r="K46" s="6">
        <v>4567784</v>
      </c>
      <c r="L46" s="6" t="s">
        <v>30</v>
      </c>
      <c r="M46" s="9">
        <v>4531107</v>
      </c>
      <c r="N46" s="10" t="str">
        <f t="shared" si="10"/>
        <v>RRHH</v>
      </c>
      <c r="O46" s="11" t="str">
        <f t="shared" si="2"/>
        <v>Norte</v>
      </c>
      <c r="P46" s="12">
        <f t="shared" si="3"/>
        <v>317177.49000000005</v>
      </c>
      <c r="Q46" s="11" t="str">
        <f t="shared" si="4"/>
        <v>Azul</v>
      </c>
    </row>
    <row r="47" spans="1:17" ht="15.75" thickBot="1" x14ac:dyDescent="0.3">
      <c r="A47" s="5">
        <v>71220541</v>
      </c>
      <c r="B47" s="6" t="s">
        <v>105</v>
      </c>
      <c r="C47" s="6" t="s">
        <v>120</v>
      </c>
      <c r="D47" s="6" t="s">
        <v>121</v>
      </c>
      <c r="E47" s="7">
        <v>32864</v>
      </c>
      <c r="F47" s="6" t="s">
        <v>66</v>
      </c>
      <c r="G47" s="8">
        <f t="shared" ca="1" si="0"/>
        <v>36</v>
      </c>
      <c r="H47" s="6" t="s">
        <v>107</v>
      </c>
      <c r="I47" s="6" t="s">
        <v>54</v>
      </c>
      <c r="J47" s="6" t="s">
        <v>23</v>
      </c>
      <c r="K47" s="6">
        <v>2655182</v>
      </c>
      <c r="L47" s="6" t="s">
        <v>55</v>
      </c>
      <c r="M47" s="9">
        <v>2276293</v>
      </c>
      <c r="N47" s="10" t="str">
        <f t="shared" si="10"/>
        <v>RRHH</v>
      </c>
      <c r="O47" s="11" t="str">
        <f t="shared" si="2"/>
        <v>Sur</v>
      </c>
      <c r="P47" s="12">
        <f t="shared" si="3"/>
        <v>159340.51</v>
      </c>
      <c r="Q47" s="11" t="str">
        <f t="shared" si="4"/>
        <v>Azul</v>
      </c>
    </row>
    <row r="48" spans="1:17" ht="15.75" thickBot="1" x14ac:dyDescent="0.3">
      <c r="A48" s="5">
        <v>1128425520</v>
      </c>
      <c r="B48" s="6" t="s">
        <v>105</v>
      </c>
      <c r="C48" s="6" t="s">
        <v>79</v>
      </c>
      <c r="D48" s="6" t="s">
        <v>121</v>
      </c>
      <c r="E48" s="7">
        <v>28115</v>
      </c>
      <c r="F48" s="6" t="s">
        <v>66</v>
      </c>
      <c r="G48" s="8">
        <f t="shared" ca="1" si="0"/>
        <v>49</v>
      </c>
      <c r="H48" s="6" t="s">
        <v>107</v>
      </c>
      <c r="I48" s="6" t="s">
        <v>54</v>
      </c>
      <c r="J48" s="6" t="s">
        <v>23</v>
      </c>
      <c r="K48" s="6">
        <v>2655182</v>
      </c>
      <c r="L48" s="6" t="s">
        <v>55</v>
      </c>
      <c r="M48" s="9">
        <v>4876361</v>
      </c>
      <c r="N48" s="10" t="str">
        <f t="shared" si="10"/>
        <v>RRHH</v>
      </c>
      <c r="O48" s="11" t="str">
        <f t="shared" si="2"/>
        <v>Sur</v>
      </c>
      <c r="P48" s="12">
        <f t="shared" si="3"/>
        <v>341345.27</v>
      </c>
      <c r="Q48" s="11" t="str">
        <f t="shared" si="4"/>
        <v>Azul</v>
      </c>
    </row>
    <row r="49" spans="1:17" ht="15.75" thickBot="1" x14ac:dyDescent="0.3">
      <c r="A49" s="5">
        <v>1020411616</v>
      </c>
      <c r="B49" s="6" t="s">
        <v>105</v>
      </c>
      <c r="C49" s="6" t="s">
        <v>122</v>
      </c>
      <c r="D49" s="6" t="s">
        <v>53</v>
      </c>
      <c r="E49" s="7">
        <v>28723</v>
      </c>
      <c r="F49" s="6" t="s">
        <v>66</v>
      </c>
      <c r="G49" s="8">
        <f t="shared" ca="1" si="0"/>
        <v>47</v>
      </c>
      <c r="H49" s="6" t="s">
        <v>107</v>
      </c>
      <c r="I49" s="6" t="s">
        <v>62</v>
      </c>
      <c r="J49" s="6" t="s">
        <v>49</v>
      </c>
      <c r="K49" s="6">
        <v>4567786</v>
      </c>
      <c r="L49" s="6" t="s">
        <v>30</v>
      </c>
      <c r="M49" s="9">
        <v>3024627</v>
      </c>
      <c r="N49" s="10" t="str">
        <f t="shared" si="10"/>
        <v>RRHH</v>
      </c>
      <c r="O49" s="11" t="str">
        <f t="shared" si="2"/>
        <v>Norte</v>
      </c>
      <c r="P49" s="12">
        <f t="shared" si="3"/>
        <v>211723.89</v>
      </c>
      <c r="Q49" s="11" t="str">
        <f t="shared" si="4"/>
        <v>Azul</v>
      </c>
    </row>
    <row r="50" spans="1:17" ht="15.75" thickBot="1" x14ac:dyDescent="0.3">
      <c r="A50" s="5">
        <v>1020411616</v>
      </c>
      <c r="B50" s="6" t="s">
        <v>105</v>
      </c>
      <c r="C50" s="6" t="s">
        <v>122</v>
      </c>
      <c r="D50" s="6" t="s">
        <v>53</v>
      </c>
      <c r="E50" s="7">
        <v>28723</v>
      </c>
      <c r="F50" s="6" t="s">
        <v>66</v>
      </c>
      <c r="G50" s="8">
        <f t="shared" ref="G50" ca="1" si="11">(YEAR(NOW())-YEAR(E50))</f>
        <v>47</v>
      </c>
      <c r="H50" s="6" t="s">
        <v>107</v>
      </c>
      <c r="I50" s="6" t="s">
        <v>62</v>
      </c>
      <c r="J50" s="6" t="s">
        <v>49</v>
      </c>
      <c r="K50" s="6">
        <v>4567786</v>
      </c>
      <c r="L50" s="6" t="s">
        <v>30</v>
      </c>
      <c r="M50" s="9">
        <v>3024627</v>
      </c>
      <c r="N50" s="10" t="str">
        <f t="shared" ref="N50" si="12">IF(AND(B50="Psicologo",H50="Salud Mental"),"RRHH")</f>
        <v>RRHH</v>
      </c>
      <c r="O50" s="11" t="str">
        <f t="shared" ref="O50" si="13">IF(OR(I50="CONCRETO S.A",L50="Envigado"),"Sur",IF(OR(I50="A.I.A.",L50="Medellín"),"Norte","Centro"))</f>
        <v>Norte</v>
      </c>
      <c r="P50" s="12">
        <f t="shared" ref="P50" si="14">IF(AND(I50="A.I.A.",M50&gt;=5200000),M50*0.05,IF(OR(I50="CEMENTOS ARGOS",M50&gt;=6500000),M50*0.06,M50*0.07))</f>
        <v>211723.89</v>
      </c>
      <c r="Q50" s="11" t="str">
        <f t="shared" ref="Q50" si="15">IF(AND(B50="Medico",H50="Gerente Administrativo"),"Blanco",IF(AND(B50="Psicologo",H50="Salud Mental"),"Azul","Otro"))</f>
        <v>Azul</v>
      </c>
    </row>
    <row r="51" spans="1:17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/>
    </row>
    <row r="52" spans="1:17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/>
    </row>
    <row r="53" spans="1:17" x14ac:dyDescent="0.25">
      <c r="A53"/>
      <c r="M53"/>
    </row>
    <row r="54" spans="1:17" x14ac:dyDescent="0.25">
      <c r="A54"/>
      <c r="M54"/>
    </row>
    <row r="55" spans="1:17" x14ac:dyDescent="0.25">
      <c r="A55"/>
      <c r="M55"/>
    </row>
    <row r="56" spans="1:17" x14ac:dyDescent="0.25">
      <c r="A56"/>
      <c r="M56"/>
    </row>
    <row r="57" spans="1:17" x14ac:dyDescent="0.25">
      <c r="A57"/>
      <c r="M57"/>
    </row>
    <row r="58" spans="1:17" x14ac:dyDescent="0.25">
      <c r="A58"/>
      <c r="M58"/>
    </row>
    <row r="59" spans="1:17" x14ac:dyDescent="0.25">
      <c r="A59"/>
      <c r="M59"/>
    </row>
    <row r="60" spans="1:17" x14ac:dyDescent="0.25">
      <c r="A60"/>
      <c r="M60"/>
    </row>
    <row r="61" spans="1:17" x14ac:dyDescent="0.25">
      <c r="A61"/>
      <c r="M61"/>
    </row>
    <row r="62" spans="1:17" x14ac:dyDescent="0.25">
      <c r="A62"/>
      <c r="M62"/>
    </row>
    <row r="63" spans="1:17" x14ac:dyDescent="0.25">
      <c r="A63"/>
      <c r="M63"/>
    </row>
    <row r="64" spans="1:17" x14ac:dyDescent="0.25">
      <c r="A64"/>
      <c r="M64"/>
    </row>
    <row r="65" spans="1:13" x14ac:dyDescent="0.25">
      <c r="A65"/>
      <c r="M65"/>
    </row>
    <row r="66" spans="1:13" x14ac:dyDescent="0.25">
      <c r="A66"/>
      <c r="M66"/>
    </row>
  </sheetData>
  <mergeCells count="1">
    <mergeCell ref="A51:L5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D. Perez Torres</dc:creator>
  <cp:lastModifiedBy>Cristian D. Perez Torres</cp:lastModifiedBy>
  <dcterms:created xsi:type="dcterms:W3CDTF">2025-06-20T13:48:08Z</dcterms:created>
  <dcterms:modified xsi:type="dcterms:W3CDTF">2025-11-30T22:55:16Z</dcterms:modified>
</cp:coreProperties>
</file>